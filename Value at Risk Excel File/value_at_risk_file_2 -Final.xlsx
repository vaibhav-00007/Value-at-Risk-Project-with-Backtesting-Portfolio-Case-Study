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Vaibhav Yadav\Data Analyst\Project\Value at Risk w Excel\"/>
    </mc:Choice>
  </mc:AlternateContent>
  <xr:revisionPtr revIDLastSave="0" documentId="13_ncr:1_{C7CA0B65-6354-4726-9ADF-DA32F9DA4365}" xr6:coauthVersionLast="47" xr6:coauthVersionMax="47" xr10:uidLastSave="{00000000-0000-0000-0000-000000000000}"/>
  <bookViews>
    <workbookView xWindow="-120" yWindow="-120" windowWidth="20730" windowHeight="11160" tabRatio="787" activeTab="5" xr2:uid="{00000000-000D-0000-FFFF-FFFF00000000}"/>
  </bookViews>
  <sheets>
    <sheet name="Merged_data" sheetId="17" r:id="rId1"/>
    <sheet name="Calculation" sheetId="13" state="hidden" r:id="rId2"/>
    <sheet name="Historical" sheetId="6" r:id="rId3"/>
    <sheet name="Parametric" sheetId="7" r:id="rId4"/>
    <sheet name="Monte_Carlo" sheetId="9" r:id="rId5"/>
    <sheet name="Kupeic Test" sheetId="8" r:id="rId6"/>
    <sheet name="Dashboard" sheetId="14" r:id="rId7"/>
  </sheets>
  <definedNames>
    <definedName name="Date">'Kupeic Test'!$A$1</definedName>
    <definedName name="ExternalData_6" localSheetId="0" hidden="1">Merged_data!$A$1:$D$252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6" i="9" l="1"/>
  <c r="AE2" i="13"/>
  <c r="AD2" i="13" a="1"/>
  <c r="AD2" i="13" s="1"/>
  <c r="AB3" i="13"/>
  <c r="AB5" i="13"/>
  <c r="AB4" i="13"/>
  <c r="W2" i="13" a="1"/>
  <c r="W2" i="13" s="1"/>
  <c r="A2" i="8" a="1"/>
  <c r="A2" i="8" s="1"/>
  <c r="A1" i="13" a="1"/>
  <c r="A1" i="13" s="1"/>
  <c r="B1" i="13" a="1"/>
  <c r="D3" i="13" s="1"/>
  <c r="E1" i="13" a="1"/>
  <c r="F7" i="13" s="1"/>
  <c r="G1" i="13" a="1"/>
  <c r="H7" i="13" s="1"/>
  <c r="I6" i="6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3" i="8"/>
  <c r="W18" i="9"/>
  <c r="V18" i="9"/>
  <c r="U18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3" i="9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3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3" i="6"/>
  <c r="D3" i="6" s="1"/>
  <c r="C242" i="13" l="1"/>
  <c r="C226" i="13"/>
  <c r="C210" i="13"/>
  <c r="C194" i="13"/>
  <c r="C178" i="13"/>
  <c r="C162" i="13"/>
  <c r="C146" i="13"/>
  <c r="C130" i="13"/>
  <c r="C114" i="13"/>
  <c r="C98" i="13"/>
  <c r="C82" i="13"/>
  <c r="C66" i="13"/>
  <c r="C50" i="13"/>
  <c r="C34" i="13"/>
  <c r="C18" i="13"/>
  <c r="C238" i="13"/>
  <c r="C190" i="13"/>
  <c r="C30" i="13"/>
  <c r="C250" i="13"/>
  <c r="C234" i="13"/>
  <c r="C218" i="13"/>
  <c r="C202" i="13"/>
  <c r="C186" i="13"/>
  <c r="C170" i="13"/>
  <c r="C154" i="13"/>
  <c r="C138" i="13"/>
  <c r="C122" i="13"/>
  <c r="C106" i="13"/>
  <c r="C90" i="13"/>
  <c r="C74" i="13"/>
  <c r="C58" i="13"/>
  <c r="C42" i="13"/>
  <c r="C26" i="13"/>
  <c r="C10" i="13"/>
  <c r="C222" i="13"/>
  <c r="C206" i="13"/>
  <c r="C174" i="13"/>
  <c r="C158" i="13"/>
  <c r="C142" i="13"/>
  <c r="C126" i="13"/>
  <c r="C110" i="13"/>
  <c r="C94" i="13"/>
  <c r="C78" i="13"/>
  <c r="C62" i="13"/>
  <c r="C46" i="13"/>
  <c r="C14" i="13"/>
  <c r="C246" i="13"/>
  <c r="C230" i="13"/>
  <c r="C214" i="13"/>
  <c r="C198" i="13"/>
  <c r="C182" i="13"/>
  <c r="C166" i="13"/>
  <c r="C150" i="13"/>
  <c r="C134" i="13"/>
  <c r="C118" i="13"/>
  <c r="C102" i="13"/>
  <c r="C86" i="13"/>
  <c r="C70" i="13"/>
  <c r="C54" i="13"/>
  <c r="C38" i="13"/>
  <c r="C22" i="13"/>
  <c r="B1" i="13"/>
  <c r="D7" i="13"/>
  <c r="D11" i="13"/>
  <c r="D15" i="13"/>
  <c r="D4" i="13"/>
  <c r="D8" i="13"/>
  <c r="D12" i="13"/>
  <c r="D9" i="13"/>
  <c r="D16" i="13"/>
  <c r="D20" i="13"/>
  <c r="D24" i="13"/>
  <c r="D28" i="13"/>
  <c r="D32" i="13"/>
  <c r="D36" i="13"/>
  <c r="D40" i="13"/>
  <c r="D44" i="13"/>
  <c r="D48" i="13"/>
  <c r="D52" i="13"/>
  <c r="D56" i="13"/>
  <c r="D60" i="13"/>
  <c r="D64" i="13"/>
  <c r="D68" i="13"/>
  <c r="D72" i="13"/>
  <c r="D76" i="13"/>
  <c r="D80" i="13"/>
  <c r="D84" i="13"/>
  <c r="D88" i="13"/>
  <c r="D92" i="13"/>
  <c r="D96" i="13"/>
  <c r="D100" i="13"/>
  <c r="D104" i="13"/>
  <c r="D108" i="13"/>
  <c r="D112" i="13"/>
  <c r="D116" i="13"/>
  <c r="D120" i="13"/>
  <c r="D124" i="13"/>
  <c r="D128" i="13"/>
  <c r="D132" i="13"/>
  <c r="D136" i="13"/>
  <c r="D140" i="13"/>
  <c r="D144" i="13"/>
  <c r="D148" i="13"/>
  <c r="D152" i="13"/>
  <c r="D156" i="13"/>
  <c r="D160" i="13"/>
  <c r="D164" i="13"/>
  <c r="D168" i="13"/>
  <c r="D172" i="13"/>
  <c r="D176" i="13"/>
  <c r="D180" i="13"/>
  <c r="D184" i="13"/>
  <c r="D188" i="13"/>
  <c r="D192" i="13"/>
  <c r="D196" i="13"/>
  <c r="D200" i="13"/>
  <c r="D204" i="13"/>
  <c r="D208" i="13"/>
  <c r="D212" i="13"/>
  <c r="D216" i="13"/>
  <c r="D220" i="13"/>
  <c r="D224" i="13"/>
  <c r="D228" i="13"/>
  <c r="D232" i="13"/>
  <c r="D236" i="13"/>
  <c r="D240" i="13"/>
  <c r="D244" i="13"/>
  <c r="D248" i="13"/>
  <c r="D10" i="13"/>
  <c r="D17" i="13"/>
  <c r="D21" i="13"/>
  <c r="D25" i="13"/>
  <c r="D29" i="13"/>
  <c r="D33" i="13"/>
  <c r="D37" i="13"/>
  <c r="D41" i="13"/>
  <c r="D45" i="13"/>
  <c r="D49" i="13"/>
  <c r="D53" i="13"/>
  <c r="D57" i="13"/>
  <c r="D61" i="13"/>
  <c r="D65" i="13"/>
  <c r="D69" i="13"/>
  <c r="D73" i="13"/>
  <c r="D77" i="13"/>
  <c r="D81" i="13"/>
  <c r="D85" i="13"/>
  <c r="D89" i="13"/>
  <c r="D93" i="13"/>
  <c r="D97" i="13"/>
  <c r="D101" i="13"/>
  <c r="D105" i="13"/>
  <c r="D109" i="13"/>
  <c r="D113" i="13"/>
  <c r="D117" i="13"/>
  <c r="D121" i="13"/>
  <c r="D125" i="13"/>
  <c r="D129" i="13"/>
  <c r="D133" i="13"/>
  <c r="D137" i="13"/>
  <c r="D141" i="13"/>
  <c r="D145" i="13"/>
  <c r="D149" i="13"/>
  <c r="D153" i="13"/>
  <c r="D157" i="13"/>
  <c r="D161" i="13"/>
  <c r="D165" i="13"/>
  <c r="D169" i="13"/>
  <c r="D173" i="13"/>
  <c r="D177" i="13"/>
  <c r="D181" i="13"/>
  <c r="D185" i="13"/>
  <c r="D189" i="13"/>
  <c r="D193" i="13"/>
  <c r="D197" i="13"/>
  <c r="D201" i="13"/>
  <c r="D205" i="13"/>
  <c r="D209" i="13"/>
  <c r="D213" i="13"/>
  <c r="D217" i="13"/>
  <c r="D221" i="13"/>
  <c r="D225" i="13"/>
  <c r="D229" i="13"/>
  <c r="D233" i="13"/>
  <c r="D237" i="13"/>
  <c r="D241" i="13"/>
  <c r="D245" i="13"/>
  <c r="D249" i="13"/>
  <c r="D5" i="13"/>
  <c r="D13" i="13"/>
  <c r="D18" i="13"/>
  <c r="D22" i="13"/>
  <c r="D26" i="13"/>
  <c r="D30" i="13"/>
  <c r="D34" i="13"/>
  <c r="D38" i="13"/>
  <c r="D42" i="13"/>
  <c r="D46" i="13"/>
  <c r="D50" i="13"/>
  <c r="D54" i="13"/>
  <c r="D58" i="13"/>
  <c r="D62" i="13"/>
  <c r="D66" i="13"/>
  <c r="D70" i="13"/>
  <c r="D74" i="13"/>
  <c r="D78" i="13"/>
  <c r="D82" i="13"/>
  <c r="D86" i="13"/>
  <c r="D90" i="13"/>
  <c r="D94" i="13"/>
  <c r="D98" i="13"/>
  <c r="D102" i="13"/>
  <c r="D106" i="13"/>
  <c r="D110" i="13"/>
  <c r="D114" i="13"/>
  <c r="D118" i="13"/>
  <c r="D122" i="13"/>
  <c r="D126" i="13"/>
  <c r="D130" i="13"/>
  <c r="D134" i="13"/>
  <c r="D138" i="13"/>
  <c r="D142" i="13"/>
  <c r="D146" i="13"/>
  <c r="D150" i="13"/>
  <c r="D154" i="13"/>
  <c r="D158" i="13"/>
  <c r="D162" i="13"/>
  <c r="D166" i="13"/>
  <c r="D170" i="13"/>
  <c r="D174" i="13"/>
  <c r="D178" i="13"/>
  <c r="D182" i="13"/>
  <c r="D186" i="13"/>
  <c r="D190" i="13"/>
  <c r="D194" i="13"/>
  <c r="D198" i="13"/>
  <c r="D202" i="13"/>
  <c r="D206" i="13"/>
  <c r="D210" i="13"/>
  <c r="D214" i="13"/>
  <c r="D218" i="13"/>
  <c r="D222" i="13"/>
  <c r="D226" i="13"/>
  <c r="D230" i="13"/>
  <c r="D234" i="13"/>
  <c r="D238" i="13"/>
  <c r="D242" i="13"/>
  <c r="D246" i="13"/>
  <c r="D250" i="13"/>
  <c r="D6" i="13"/>
  <c r="D14" i="13"/>
  <c r="D19" i="13"/>
  <c r="D23" i="13"/>
  <c r="D27" i="13"/>
  <c r="D31" i="13"/>
  <c r="D35" i="13"/>
  <c r="D39" i="13"/>
  <c r="D43" i="13"/>
  <c r="D47" i="13"/>
  <c r="D51" i="13"/>
  <c r="D55" i="13"/>
  <c r="D59" i="13"/>
  <c r="D63" i="13"/>
  <c r="D67" i="13"/>
  <c r="D71" i="13"/>
  <c r="D75" i="13"/>
  <c r="D79" i="13"/>
  <c r="D83" i="13"/>
  <c r="D87" i="13"/>
  <c r="D91" i="13"/>
  <c r="D95" i="13"/>
  <c r="D99" i="13"/>
  <c r="D103" i="13"/>
  <c r="D107" i="13"/>
  <c r="D111" i="13"/>
  <c r="D115" i="13"/>
  <c r="D119" i="13"/>
  <c r="D123" i="13"/>
  <c r="D127" i="13"/>
  <c r="D131" i="13"/>
  <c r="D135" i="13"/>
  <c r="D139" i="13"/>
  <c r="D143" i="13"/>
  <c r="D147" i="13"/>
  <c r="D151" i="13"/>
  <c r="D155" i="13"/>
  <c r="D159" i="13"/>
  <c r="D163" i="13"/>
  <c r="D167" i="13"/>
  <c r="D171" i="13"/>
  <c r="D175" i="13"/>
  <c r="D179" i="13"/>
  <c r="D183" i="13"/>
  <c r="D187" i="13"/>
  <c r="D191" i="13"/>
  <c r="D195" i="13"/>
  <c r="D199" i="13"/>
  <c r="D203" i="13"/>
  <c r="D207" i="13"/>
  <c r="D211" i="13"/>
  <c r="D215" i="13"/>
  <c r="D219" i="13"/>
  <c r="D223" i="13"/>
  <c r="D227" i="13"/>
  <c r="D231" i="13"/>
  <c r="D235" i="13"/>
  <c r="D239" i="13"/>
  <c r="D243" i="13"/>
  <c r="D247" i="13"/>
  <c r="D251" i="13"/>
  <c r="C6" i="13"/>
  <c r="F246" i="13"/>
  <c r="F238" i="13"/>
  <c r="F230" i="13"/>
  <c r="F222" i="13"/>
  <c r="F214" i="13"/>
  <c r="F201" i="13"/>
  <c r="F185" i="13"/>
  <c r="F169" i="13"/>
  <c r="F153" i="13"/>
  <c r="F137" i="13"/>
  <c r="F121" i="13"/>
  <c r="F105" i="13"/>
  <c r="F87" i="13"/>
  <c r="F55" i="13"/>
  <c r="F23" i="13"/>
  <c r="H239" i="13"/>
  <c r="H207" i="13"/>
  <c r="H175" i="13"/>
  <c r="H143" i="13"/>
  <c r="H111" i="13"/>
  <c r="H79" i="13"/>
  <c r="H47" i="13"/>
  <c r="H15" i="13"/>
  <c r="C249" i="13"/>
  <c r="C245" i="13"/>
  <c r="C241" i="13"/>
  <c r="C237" i="13"/>
  <c r="C233" i="13"/>
  <c r="C229" i="13"/>
  <c r="C225" i="13"/>
  <c r="C221" i="13"/>
  <c r="C217" i="13"/>
  <c r="C213" i="13"/>
  <c r="C209" i="13"/>
  <c r="C205" i="13"/>
  <c r="C201" i="13"/>
  <c r="C197" i="13"/>
  <c r="C193" i="13"/>
  <c r="C189" i="13"/>
  <c r="C185" i="13"/>
  <c r="C181" i="13"/>
  <c r="C177" i="13"/>
  <c r="C173" i="13"/>
  <c r="C169" i="13"/>
  <c r="C165" i="13"/>
  <c r="C161" i="13"/>
  <c r="C157" i="13"/>
  <c r="C153" i="13"/>
  <c r="C149" i="13"/>
  <c r="C145" i="13"/>
  <c r="C141" i="13"/>
  <c r="C137" i="13"/>
  <c r="C133" i="13"/>
  <c r="C129" i="13"/>
  <c r="C125" i="13"/>
  <c r="C121" i="13"/>
  <c r="C117" i="13"/>
  <c r="C113" i="13"/>
  <c r="C109" i="13"/>
  <c r="C105" i="13"/>
  <c r="C101" i="13"/>
  <c r="C97" i="13"/>
  <c r="C93" i="13"/>
  <c r="C89" i="13"/>
  <c r="C85" i="13"/>
  <c r="C81" i="13"/>
  <c r="C77" i="13"/>
  <c r="C73" i="13"/>
  <c r="C69" i="13"/>
  <c r="C65" i="13"/>
  <c r="C61" i="13"/>
  <c r="C57" i="13"/>
  <c r="C53" i="13"/>
  <c r="C49" i="13"/>
  <c r="C45" i="13"/>
  <c r="C41" i="13"/>
  <c r="C37" i="13"/>
  <c r="C33" i="13"/>
  <c r="C29" i="13"/>
  <c r="C25" i="13"/>
  <c r="C21" i="13"/>
  <c r="C17" i="13"/>
  <c r="C13" i="13"/>
  <c r="C9" i="13"/>
  <c r="C5" i="13"/>
  <c r="F245" i="13"/>
  <c r="F237" i="13"/>
  <c r="F229" i="13"/>
  <c r="F221" i="13"/>
  <c r="F213" i="13"/>
  <c r="F197" i="13"/>
  <c r="F181" i="13"/>
  <c r="F165" i="13"/>
  <c r="F149" i="13"/>
  <c r="F133" i="13"/>
  <c r="F117" i="13"/>
  <c r="F101" i="13"/>
  <c r="F79" i="13"/>
  <c r="F47" i="13"/>
  <c r="F15" i="13"/>
  <c r="H231" i="13"/>
  <c r="H199" i="13"/>
  <c r="H167" i="13"/>
  <c r="H135" i="13"/>
  <c r="H103" i="13"/>
  <c r="H71" i="13"/>
  <c r="H39" i="13"/>
  <c r="G1" i="13"/>
  <c r="H4" i="13"/>
  <c r="H8" i="13"/>
  <c r="H12" i="13"/>
  <c r="H16" i="13"/>
  <c r="H20" i="13"/>
  <c r="H24" i="13"/>
  <c r="H28" i="13"/>
  <c r="H32" i="13"/>
  <c r="H36" i="13"/>
  <c r="H40" i="13"/>
  <c r="H44" i="13"/>
  <c r="H48" i="13"/>
  <c r="H52" i="13"/>
  <c r="H56" i="13"/>
  <c r="H60" i="13"/>
  <c r="H64" i="13"/>
  <c r="H68" i="13"/>
  <c r="H72" i="13"/>
  <c r="H76" i="13"/>
  <c r="H80" i="13"/>
  <c r="H84" i="13"/>
  <c r="H88" i="13"/>
  <c r="H92" i="13"/>
  <c r="H96" i="13"/>
  <c r="H100" i="13"/>
  <c r="H104" i="13"/>
  <c r="H108" i="13"/>
  <c r="H112" i="13"/>
  <c r="H116" i="13"/>
  <c r="H120" i="13"/>
  <c r="H124" i="13"/>
  <c r="H128" i="13"/>
  <c r="H132" i="13"/>
  <c r="H136" i="13"/>
  <c r="H140" i="13"/>
  <c r="H144" i="13"/>
  <c r="H148" i="13"/>
  <c r="H152" i="13"/>
  <c r="H156" i="13"/>
  <c r="H160" i="13"/>
  <c r="H164" i="13"/>
  <c r="H168" i="13"/>
  <c r="H172" i="13"/>
  <c r="H176" i="13"/>
  <c r="H180" i="13"/>
  <c r="H184" i="13"/>
  <c r="H188" i="13"/>
  <c r="H192" i="13"/>
  <c r="H196" i="13"/>
  <c r="H200" i="13"/>
  <c r="H204" i="13"/>
  <c r="H208" i="13"/>
  <c r="H212" i="13"/>
  <c r="H216" i="13"/>
  <c r="H220" i="13"/>
  <c r="H224" i="13"/>
  <c r="H228" i="13"/>
  <c r="H232" i="13"/>
  <c r="H236" i="13"/>
  <c r="H240" i="13"/>
  <c r="H244" i="13"/>
  <c r="H248" i="13"/>
  <c r="H5" i="13"/>
  <c r="H9" i="13"/>
  <c r="H13" i="13"/>
  <c r="H17" i="13"/>
  <c r="H21" i="13"/>
  <c r="H25" i="13"/>
  <c r="H29" i="13"/>
  <c r="H33" i="13"/>
  <c r="H37" i="13"/>
  <c r="H41" i="13"/>
  <c r="H45" i="13"/>
  <c r="H49" i="13"/>
  <c r="H53" i="13"/>
  <c r="H57" i="13"/>
  <c r="H61" i="13"/>
  <c r="H65" i="13"/>
  <c r="H69" i="13"/>
  <c r="H73" i="13"/>
  <c r="H77" i="13"/>
  <c r="H81" i="13"/>
  <c r="H85" i="13"/>
  <c r="H89" i="13"/>
  <c r="H93" i="13"/>
  <c r="H97" i="13"/>
  <c r="H101" i="13"/>
  <c r="H105" i="13"/>
  <c r="H109" i="13"/>
  <c r="H113" i="13"/>
  <c r="H117" i="13"/>
  <c r="H121" i="13"/>
  <c r="H125" i="13"/>
  <c r="H129" i="13"/>
  <c r="H133" i="13"/>
  <c r="H137" i="13"/>
  <c r="H141" i="13"/>
  <c r="H145" i="13"/>
  <c r="H149" i="13"/>
  <c r="H153" i="13"/>
  <c r="H157" i="13"/>
  <c r="H161" i="13"/>
  <c r="H165" i="13"/>
  <c r="H169" i="13"/>
  <c r="H173" i="13"/>
  <c r="H177" i="13"/>
  <c r="H181" i="13"/>
  <c r="H185" i="13"/>
  <c r="H189" i="13"/>
  <c r="H193" i="13"/>
  <c r="H197" i="13"/>
  <c r="H201" i="13"/>
  <c r="H205" i="13"/>
  <c r="H209" i="13"/>
  <c r="H213" i="13"/>
  <c r="H217" i="13"/>
  <c r="H221" i="13"/>
  <c r="H225" i="13"/>
  <c r="H229" i="13"/>
  <c r="H233" i="13"/>
  <c r="H237" i="13"/>
  <c r="H241" i="13"/>
  <c r="H245" i="13"/>
  <c r="H249" i="13"/>
  <c r="H10" i="13"/>
  <c r="H18" i="13"/>
  <c r="H26" i="13"/>
  <c r="H34" i="13"/>
  <c r="H42" i="13"/>
  <c r="H50" i="13"/>
  <c r="H58" i="13"/>
  <c r="H66" i="13"/>
  <c r="H74" i="13"/>
  <c r="H82" i="13"/>
  <c r="H90" i="13"/>
  <c r="H98" i="13"/>
  <c r="H106" i="13"/>
  <c r="H114" i="13"/>
  <c r="H122" i="13"/>
  <c r="H130" i="13"/>
  <c r="H138" i="13"/>
  <c r="H146" i="13"/>
  <c r="H154" i="13"/>
  <c r="H162" i="13"/>
  <c r="H170" i="13"/>
  <c r="H178" i="13"/>
  <c r="H186" i="13"/>
  <c r="H194" i="13"/>
  <c r="H202" i="13"/>
  <c r="H210" i="13"/>
  <c r="H218" i="13"/>
  <c r="H226" i="13"/>
  <c r="H234" i="13"/>
  <c r="H242" i="13"/>
  <c r="H250" i="13"/>
  <c r="H11" i="13"/>
  <c r="H19" i="13"/>
  <c r="H27" i="13"/>
  <c r="H35" i="13"/>
  <c r="H43" i="13"/>
  <c r="H51" i="13"/>
  <c r="H59" i="13"/>
  <c r="H67" i="13"/>
  <c r="H75" i="13"/>
  <c r="H83" i="13"/>
  <c r="H91" i="13"/>
  <c r="H99" i="13"/>
  <c r="H107" i="13"/>
  <c r="H115" i="13"/>
  <c r="H123" i="13"/>
  <c r="H131" i="13"/>
  <c r="H139" i="13"/>
  <c r="H147" i="13"/>
  <c r="H155" i="13"/>
  <c r="H163" i="13"/>
  <c r="H171" i="13"/>
  <c r="H179" i="13"/>
  <c r="H187" i="13"/>
  <c r="H195" i="13"/>
  <c r="H203" i="13"/>
  <c r="H211" i="13"/>
  <c r="H219" i="13"/>
  <c r="H227" i="13"/>
  <c r="H235" i="13"/>
  <c r="H243" i="13"/>
  <c r="H251" i="13"/>
  <c r="H6" i="13"/>
  <c r="H14" i="13"/>
  <c r="H22" i="13"/>
  <c r="H30" i="13"/>
  <c r="H38" i="13"/>
  <c r="H46" i="13"/>
  <c r="H54" i="13"/>
  <c r="H62" i="13"/>
  <c r="H70" i="13"/>
  <c r="H78" i="13"/>
  <c r="H86" i="13"/>
  <c r="H94" i="13"/>
  <c r="H102" i="13"/>
  <c r="H110" i="13"/>
  <c r="H118" i="13"/>
  <c r="H126" i="13"/>
  <c r="H134" i="13"/>
  <c r="H142" i="13"/>
  <c r="H150" i="13"/>
  <c r="H158" i="13"/>
  <c r="H166" i="13"/>
  <c r="H174" i="13"/>
  <c r="H182" i="13"/>
  <c r="H190" i="13"/>
  <c r="H198" i="13"/>
  <c r="H206" i="13"/>
  <c r="H214" i="13"/>
  <c r="H222" i="13"/>
  <c r="H230" i="13"/>
  <c r="H238" i="13"/>
  <c r="H246" i="13"/>
  <c r="C2" i="13"/>
  <c r="C248" i="13"/>
  <c r="C244" i="13"/>
  <c r="C240" i="13"/>
  <c r="C236" i="13"/>
  <c r="C232" i="13"/>
  <c r="C228" i="13"/>
  <c r="C224" i="13"/>
  <c r="C220" i="13"/>
  <c r="C216" i="13"/>
  <c r="C212" i="13"/>
  <c r="C208" i="13"/>
  <c r="C204" i="13"/>
  <c r="C200" i="13"/>
  <c r="C196" i="13"/>
  <c r="C192" i="13"/>
  <c r="C188" i="13"/>
  <c r="C184" i="13"/>
  <c r="C180" i="13"/>
  <c r="C176" i="13"/>
  <c r="C172" i="13"/>
  <c r="C168" i="13"/>
  <c r="C164" i="13"/>
  <c r="C160" i="13"/>
  <c r="C156" i="13"/>
  <c r="C152" i="13"/>
  <c r="C148" i="13"/>
  <c r="C144" i="13"/>
  <c r="C140" i="13"/>
  <c r="C136" i="13"/>
  <c r="C132" i="13"/>
  <c r="C128" i="13"/>
  <c r="C124" i="13"/>
  <c r="C120" i="13"/>
  <c r="C116" i="13"/>
  <c r="C112" i="13"/>
  <c r="C108" i="13"/>
  <c r="C104" i="13"/>
  <c r="C100" i="13"/>
  <c r="C96" i="13"/>
  <c r="C92" i="13"/>
  <c r="C88" i="13"/>
  <c r="C84" i="13"/>
  <c r="C80" i="13"/>
  <c r="C76" i="13"/>
  <c r="C72" i="13"/>
  <c r="C68" i="13"/>
  <c r="C64" i="13"/>
  <c r="C60" i="13"/>
  <c r="C56" i="13"/>
  <c r="C52" i="13"/>
  <c r="C48" i="13"/>
  <c r="C44" i="13"/>
  <c r="C40" i="13"/>
  <c r="C36" i="13"/>
  <c r="C32" i="13"/>
  <c r="C28" i="13"/>
  <c r="C24" i="13"/>
  <c r="C20" i="13"/>
  <c r="C16" i="13"/>
  <c r="C12" i="13"/>
  <c r="C8" i="13"/>
  <c r="C4" i="13"/>
  <c r="F250" i="13"/>
  <c r="F242" i="13"/>
  <c r="F234" i="13"/>
  <c r="F226" i="13"/>
  <c r="F218" i="13"/>
  <c r="F209" i="13"/>
  <c r="F193" i="13"/>
  <c r="F177" i="13"/>
  <c r="F161" i="13"/>
  <c r="F145" i="13"/>
  <c r="F129" i="13"/>
  <c r="F113" i="13"/>
  <c r="F97" i="13"/>
  <c r="F71" i="13"/>
  <c r="F39" i="13"/>
  <c r="H223" i="13"/>
  <c r="H191" i="13"/>
  <c r="H159" i="13"/>
  <c r="H127" i="13"/>
  <c r="H95" i="13"/>
  <c r="H63" i="13"/>
  <c r="H31" i="13"/>
  <c r="E1" i="13"/>
  <c r="F4" i="13"/>
  <c r="F8" i="13"/>
  <c r="F12" i="13"/>
  <c r="F16" i="13"/>
  <c r="F20" i="13"/>
  <c r="F24" i="13"/>
  <c r="F28" i="13"/>
  <c r="F32" i="13"/>
  <c r="F36" i="13"/>
  <c r="F40" i="13"/>
  <c r="F44" i="13"/>
  <c r="F48" i="13"/>
  <c r="F52" i="13"/>
  <c r="F56" i="13"/>
  <c r="F60" i="13"/>
  <c r="F64" i="13"/>
  <c r="F68" i="13"/>
  <c r="F72" i="13"/>
  <c r="F76" i="13"/>
  <c r="F80" i="13"/>
  <c r="F84" i="13"/>
  <c r="F88" i="13"/>
  <c r="F5" i="13"/>
  <c r="F9" i="13"/>
  <c r="F13" i="13"/>
  <c r="F17" i="13"/>
  <c r="F21" i="13"/>
  <c r="F25" i="13"/>
  <c r="F29" i="13"/>
  <c r="F33" i="13"/>
  <c r="F37" i="13"/>
  <c r="F41" i="13"/>
  <c r="F45" i="13"/>
  <c r="F49" i="13"/>
  <c r="F53" i="13"/>
  <c r="F57" i="13"/>
  <c r="F61" i="13"/>
  <c r="F65" i="13"/>
  <c r="F69" i="13"/>
  <c r="F73" i="13"/>
  <c r="F77" i="13"/>
  <c r="F81" i="13"/>
  <c r="F85" i="13"/>
  <c r="F89" i="13"/>
  <c r="F10" i="13"/>
  <c r="F18" i="13"/>
  <c r="F26" i="13"/>
  <c r="F34" i="13"/>
  <c r="F42" i="13"/>
  <c r="F50" i="13"/>
  <c r="F58" i="13"/>
  <c r="F66" i="13"/>
  <c r="F74" i="13"/>
  <c r="F82" i="13"/>
  <c r="F90" i="13"/>
  <c r="F94" i="13"/>
  <c r="F98" i="13"/>
  <c r="F102" i="13"/>
  <c r="F106" i="13"/>
  <c r="F110" i="13"/>
  <c r="F114" i="13"/>
  <c r="F118" i="13"/>
  <c r="F122" i="13"/>
  <c r="F126" i="13"/>
  <c r="F130" i="13"/>
  <c r="F134" i="13"/>
  <c r="F138" i="13"/>
  <c r="F142" i="13"/>
  <c r="F146" i="13"/>
  <c r="F150" i="13"/>
  <c r="F154" i="13"/>
  <c r="F158" i="13"/>
  <c r="F162" i="13"/>
  <c r="F166" i="13"/>
  <c r="F170" i="13"/>
  <c r="F174" i="13"/>
  <c r="F178" i="13"/>
  <c r="F182" i="13"/>
  <c r="F186" i="13"/>
  <c r="F190" i="13"/>
  <c r="F194" i="13"/>
  <c r="F198" i="13"/>
  <c r="F202" i="13"/>
  <c r="F206" i="13"/>
  <c r="F210" i="13"/>
  <c r="F11" i="13"/>
  <c r="F19" i="13"/>
  <c r="F27" i="13"/>
  <c r="F35" i="13"/>
  <c r="F43" i="13"/>
  <c r="F51" i="13"/>
  <c r="F59" i="13"/>
  <c r="F67" i="13"/>
  <c r="F75" i="13"/>
  <c r="F83" i="13"/>
  <c r="F91" i="13"/>
  <c r="F95" i="13"/>
  <c r="F99" i="13"/>
  <c r="F103" i="13"/>
  <c r="F107" i="13"/>
  <c r="F111" i="13"/>
  <c r="F115" i="13"/>
  <c r="F119" i="13"/>
  <c r="F123" i="13"/>
  <c r="F127" i="13"/>
  <c r="F131" i="13"/>
  <c r="F135" i="13"/>
  <c r="F139" i="13"/>
  <c r="F143" i="13"/>
  <c r="F147" i="13"/>
  <c r="F151" i="13"/>
  <c r="F155" i="13"/>
  <c r="F159" i="13"/>
  <c r="F163" i="13"/>
  <c r="F167" i="13"/>
  <c r="F171" i="13"/>
  <c r="F175" i="13"/>
  <c r="F179" i="13"/>
  <c r="F183" i="13"/>
  <c r="F187" i="13"/>
  <c r="F191" i="13"/>
  <c r="F195" i="13"/>
  <c r="F199" i="13"/>
  <c r="F203" i="13"/>
  <c r="F207" i="13"/>
  <c r="F211" i="13"/>
  <c r="F215" i="13"/>
  <c r="F219" i="13"/>
  <c r="F223" i="13"/>
  <c r="F227" i="13"/>
  <c r="F231" i="13"/>
  <c r="F235" i="13"/>
  <c r="F239" i="13"/>
  <c r="F243" i="13"/>
  <c r="F247" i="13"/>
  <c r="F251" i="13"/>
  <c r="F6" i="13"/>
  <c r="F14" i="13"/>
  <c r="F22" i="13"/>
  <c r="F30" i="13"/>
  <c r="F38" i="13"/>
  <c r="F46" i="13"/>
  <c r="F54" i="13"/>
  <c r="F62" i="13"/>
  <c r="F70" i="13"/>
  <c r="F78" i="13"/>
  <c r="F86" i="13"/>
  <c r="F92" i="13"/>
  <c r="F96" i="13"/>
  <c r="F100" i="13"/>
  <c r="F104" i="13"/>
  <c r="F108" i="13"/>
  <c r="F112" i="13"/>
  <c r="F116" i="13"/>
  <c r="F120" i="13"/>
  <c r="F124" i="13"/>
  <c r="F128" i="13"/>
  <c r="F132" i="13"/>
  <c r="F136" i="13"/>
  <c r="F140" i="13"/>
  <c r="F144" i="13"/>
  <c r="F148" i="13"/>
  <c r="F152" i="13"/>
  <c r="F156" i="13"/>
  <c r="F160" i="13"/>
  <c r="F164" i="13"/>
  <c r="F168" i="13"/>
  <c r="F172" i="13"/>
  <c r="F176" i="13"/>
  <c r="F180" i="13"/>
  <c r="F184" i="13"/>
  <c r="F188" i="13"/>
  <c r="F192" i="13"/>
  <c r="F196" i="13"/>
  <c r="F200" i="13"/>
  <c r="F204" i="13"/>
  <c r="F208" i="13"/>
  <c r="F212" i="13"/>
  <c r="F216" i="13"/>
  <c r="F220" i="13"/>
  <c r="F224" i="13"/>
  <c r="F228" i="13"/>
  <c r="F232" i="13"/>
  <c r="F236" i="13"/>
  <c r="F240" i="13"/>
  <c r="F244" i="13"/>
  <c r="F248" i="13"/>
  <c r="C251" i="13"/>
  <c r="C247" i="13"/>
  <c r="C243" i="13"/>
  <c r="C239" i="13"/>
  <c r="C235" i="13"/>
  <c r="C231" i="13"/>
  <c r="C227" i="13"/>
  <c r="C223" i="13"/>
  <c r="C219" i="13"/>
  <c r="C215" i="13"/>
  <c r="C211" i="13"/>
  <c r="C207" i="13"/>
  <c r="C203" i="13"/>
  <c r="C199" i="13"/>
  <c r="C195" i="13"/>
  <c r="C191" i="13"/>
  <c r="C187" i="13"/>
  <c r="C183" i="13"/>
  <c r="C179" i="13"/>
  <c r="C175" i="13"/>
  <c r="C171" i="13"/>
  <c r="C167" i="13"/>
  <c r="C163" i="13"/>
  <c r="C159" i="13"/>
  <c r="C155" i="13"/>
  <c r="C151" i="13"/>
  <c r="C147" i="13"/>
  <c r="C143" i="13"/>
  <c r="C139" i="13"/>
  <c r="C135" i="13"/>
  <c r="C131" i="13"/>
  <c r="C127" i="13"/>
  <c r="C123" i="13"/>
  <c r="C119" i="13"/>
  <c r="C115" i="13"/>
  <c r="C111" i="13"/>
  <c r="C107" i="13"/>
  <c r="C103" i="13"/>
  <c r="C99" i="13"/>
  <c r="C95" i="13"/>
  <c r="C91" i="13"/>
  <c r="C87" i="13"/>
  <c r="C83" i="13"/>
  <c r="C79" i="13"/>
  <c r="C75" i="13"/>
  <c r="C71" i="13"/>
  <c r="C67" i="13"/>
  <c r="C63" i="13"/>
  <c r="C59" i="13"/>
  <c r="C55" i="13"/>
  <c r="C51" i="13"/>
  <c r="C47" i="13"/>
  <c r="C43" i="13"/>
  <c r="C39" i="13"/>
  <c r="C35" i="13"/>
  <c r="C31" i="13"/>
  <c r="C27" i="13"/>
  <c r="C23" i="13"/>
  <c r="C19" i="13"/>
  <c r="C15" i="13"/>
  <c r="C11" i="13"/>
  <c r="C7" i="13"/>
  <c r="C3" i="13"/>
  <c r="F249" i="13"/>
  <c r="F241" i="13"/>
  <c r="F233" i="13"/>
  <c r="F225" i="13"/>
  <c r="F217" i="13"/>
  <c r="F205" i="13"/>
  <c r="F189" i="13"/>
  <c r="F173" i="13"/>
  <c r="F157" i="13"/>
  <c r="F141" i="13"/>
  <c r="F125" i="13"/>
  <c r="F109" i="13"/>
  <c r="F93" i="13"/>
  <c r="F63" i="13"/>
  <c r="F31" i="13"/>
  <c r="H247" i="13"/>
  <c r="H215" i="13"/>
  <c r="H183" i="13"/>
  <c r="H151" i="13"/>
  <c r="H119" i="13"/>
  <c r="H87" i="13"/>
  <c r="H55" i="13"/>
  <c r="H23" i="13"/>
  <c r="H2" i="13"/>
  <c r="H3" i="13"/>
  <c r="D2" i="13"/>
  <c r="F2" i="13"/>
  <c r="F3" i="13"/>
  <c r="E5" i="8"/>
  <c r="F5" i="8" s="1"/>
  <c r="E9" i="8"/>
  <c r="F9" i="8" s="1"/>
  <c r="E17" i="8"/>
  <c r="F17" i="8" s="1"/>
  <c r="E21" i="8"/>
  <c r="F21" i="8" s="1"/>
  <c r="E25" i="8"/>
  <c r="F25" i="8" s="1"/>
  <c r="E29" i="8"/>
  <c r="F29" i="8" s="1"/>
  <c r="E33" i="8"/>
  <c r="F33" i="8" s="1"/>
  <c r="E37" i="8"/>
  <c r="F37" i="8" s="1"/>
  <c r="E45" i="8"/>
  <c r="F45" i="8" s="1"/>
  <c r="E49" i="8"/>
  <c r="F49" i="8" s="1"/>
  <c r="E53" i="8"/>
  <c r="F53" i="8" s="1"/>
  <c r="E57" i="8"/>
  <c r="F57" i="8" s="1"/>
  <c r="E65" i="8"/>
  <c r="F65" i="8" s="1"/>
  <c r="E69" i="8"/>
  <c r="F69" i="8" s="1"/>
  <c r="E77" i="8"/>
  <c r="F77" i="8" s="1"/>
  <c r="E81" i="8"/>
  <c r="F81" i="8" s="1"/>
  <c r="E85" i="8"/>
  <c r="F85" i="8" s="1"/>
  <c r="E89" i="8"/>
  <c r="F89" i="8" s="1"/>
  <c r="E97" i="8"/>
  <c r="F97" i="8" s="1"/>
  <c r="E101" i="8"/>
  <c r="F101" i="8" s="1"/>
  <c r="E109" i="8"/>
  <c r="F109" i="8" s="1"/>
  <c r="E113" i="8"/>
  <c r="F113" i="8" s="1"/>
  <c r="E117" i="8"/>
  <c r="F117" i="8" s="1"/>
  <c r="E121" i="8"/>
  <c r="F121" i="8" s="1"/>
  <c r="E129" i="8"/>
  <c r="F129" i="8" s="1"/>
  <c r="E133" i="8"/>
  <c r="F133" i="8" s="1"/>
  <c r="E141" i="8"/>
  <c r="F141" i="8" s="1"/>
  <c r="E145" i="8"/>
  <c r="F145" i="8" s="1"/>
  <c r="E149" i="8"/>
  <c r="F149" i="8" s="1"/>
  <c r="E153" i="8"/>
  <c r="F153" i="8" s="1"/>
  <c r="E161" i="8"/>
  <c r="F161" i="8" s="1"/>
  <c r="E165" i="8"/>
  <c r="F165" i="8" s="1"/>
  <c r="E173" i="8"/>
  <c r="F173" i="8" s="1"/>
  <c r="E177" i="8"/>
  <c r="F177" i="8" s="1"/>
  <c r="E181" i="8"/>
  <c r="F181" i="8" s="1"/>
  <c r="E185" i="8"/>
  <c r="F185" i="8" s="1"/>
  <c r="E193" i="8"/>
  <c r="F193" i="8" s="1"/>
  <c r="E197" i="8"/>
  <c r="F197" i="8" s="1"/>
  <c r="E205" i="8"/>
  <c r="F205" i="8" s="1"/>
  <c r="E209" i="8"/>
  <c r="F209" i="8" s="1"/>
  <c r="E213" i="8"/>
  <c r="F213" i="8" s="1"/>
  <c r="E217" i="8"/>
  <c r="F217" i="8" s="1"/>
  <c r="E225" i="8"/>
  <c r="F225" i="8" s="1"/>
  <c r="E229" i="8"/>
  <c r="F229" i="8" s="1"/>
  <c r="E237" i="8"/>
  <c r="F237" i="8" s="1"/>
  <c r="E241" i="8"/>
  <c r="F241" i="8" s="1"/>
  <c r="E245" i="8"/>
  <c r="F245" i="8" s="1"/>
  <c r="E249" i="8"/>
  <c r="F249" i="8" s="1"/>
  <c r="D21" i="7"/>
  <c r="E8" i="8"/>
  <c r="F8" i="8" s="1"/>
  <c r="E13" i="8"/>
  <c r="F13" i="8" s="1"/>
  <c r="E16" i="8"/>
  <c r="F16" i="8" s="1"/>
  <c r="E22" i="8"/>
  <c r="F22" i="8" s="1"/>
  <c r="E24" i="8"/>
  <c r="F24" i="8" s="1"/>
  <c r="E32" i="8"/>
  <c r="F32" i="8" s="1"/>
  <c r="E40" i="8"/>
  <c r="F40" i="8" s="1"/>
  <c r="E41" i="8"/>
  <c r="F41" i="8" s="1"/>
  <c r="E48" i="8"/>
  <c r="F48" i="8" s="1"/>
  <c r="E52" i="8"/>
  <c r="F52" i="8" s="1"/>
  <c r="E60" i="8"/>
  <c r="F60" i="8" s="1"/>
  <c r="E61" i="8"/>
  <c r="F61" i="8" s="1"/>
  <c r="E68" i="8"/>
  <c r="F68" i="8" s="1"/>
  <c r="E73" i="8"/>
  <c r="F73" i="8" s="1"/>
  <c r="E76" i="8"/>
  <c r="F76" i="8" s="1"/>
  <c r="E84" i="8"/>
  <c r="F84" i="8" s="1"/>
  <c r="E92" i="8"/>
  <c r="F92" i="8" s="1"/>
  <c r="E93" i="8"/>
  <c r="F93" i="8" s="1"/>
  <c r="E100" i="8"/>
  <c r="F100" i="8" s="1"/>
  <c r="E105" i="8"/>
  <c r="F105" i="8" s="1"/>
  <c r="E108" i="8"/>
  <c r="F108" i="8" s="1"/>
  <c r="E116" i="8"/>
  <c r="F116" i="8" s="1"/>
  <c r="E124" i="8"/>
  <c r="F124" i="8" s="1"/>
  <c r="E125" i="8"/>
  <c r="F125" i="8" s="1"/>
  <c r="E132" i="8"/>
  <c r="F132" i="8" s="1"/>
  <c r="E137" i="8"/>
  <c r="F137" i="8" s="1"/>
  <c r="E140" i="8"/>
  <c r="F140" i="8" s="1"/>
  <c r="E148" i="8"/>
  <c r="F148" i="8" s="1"/>
  <c r="E156" i="8"/>
  <c r="F156" i="8" s="1"/>
  <c r="E157" i="8"/>
  <c r="F157" i="8" s="1"/>
  <c r="E164" i="8"/>
  <c r="F164" i="8" s="1"/>
  <c r="E169" i="8"/>
  <c r="F169" i="8" s="1"/>
  <c r="E172" i="8"/>
  <c r="F172" i="8" s="1"/>
  <c r="E180" i="8"/>
  <c r="F180" i="8" s="1"/>
  <c r="E188" i="8"/>
  <c r="F188" i="8" s="1"/>
  <c r="E189" i="8"/>
  <c r="F189" i="8" s="1"/>
  <c r="E196" i="8"/>
  <c r="F196" i="8" s="1"/>
  <c r="E201" i="8"/>
  <c r="F201" i="8" s="1"/>
  <c r="E204" i="8"/>
  <c r="F204" i="8" s="1"/>
  <c r="E212" i="8"/>
  <c r="F212" i="8" s="1"/>
  <c r="E220" i="8"/>
  <c r="F220" i="8" s="1"/>
  <c r="E221" i="8"/>
  <c r="F221" i="8" s="1"/>
  <c r="E228" i="8"/>
  <c r="F228" i="8" s="1"/>
  <c r="E233" i="8"/>
  <c r="F233" i="8" s="1"/>
  <c r="E236" i="8"/>
  <c r="F236" i="8" s="1"/>
  <c r="E244" i="8"/>
  <c r="F244" i="8" s="1"/>
  <c r="D101" i="7"/>
  <c r="W16" i="9"/>
  <c r="U11" i="9"/>
  <c r="U13" i="9" s="1"/>
  <c r="E3" i="9"/>
  <c r="D245" i="7" l="1"/>
  <c r="D237" i="7"/>
  <c r="D229" i="7"/>
  <c r="D221" i="7"/>
  <c r="D213" i="7"/>
  <c r="D205" i="7"/>
  <c r="D197" i="7"/>
  <c r="D189" i="7"/>
  <c r="D181" i="7"/>
  <c r="D173" i="7"/>
  <c r="D165" i="7"/>
  <c r="D157" i="7"/>
  <c r="D149" i="7"/>
  <c r="D141" i="7"/>
  <c r="D133" i="7"/>
  <c r="D125" i="7"/>
  <c r="D117" i="7"/>
  <c r="D109" i="7"/>
  <c r="D93" i="7"/>
  <c r="D85" i="7"/>
  <c r="D77" i="7"/>
  <c r="D65" i="7"/>
  <c r="D57" i="7"/>
  <c r="D53" i="7"/>
  <c r="D45" i="7"/>
  <c r="D37" i="7"/>
  <c r="D29" i="7"/>
  <c r="D9" i="7"/>
  <c r="E246" i="8"/>
  <c r="F246" i="8" s="1"/>
  <c r="E234" i="8"/>
  <c r="F234" i="8" s="1"/>
  <c r="E214" i="8"/>
  <c r="F214" i="8" s="1"/>
  <c r="E202" i="8"/>
  <c r="F202" i="8" s="1"/>
  <c r="E182" i="8"/>
  <c r="F182" i="8" s="1"/>
  <c r="E170" i="8"/>
  <c r="F170" i="8" s="1"/>
  <c r="E150" i="8"/>
  <c r="F150" i="8" s="1"/>
  <c r="E138" i="8"/>
  <c r="F138" i="8" s="1"/>
  <c r="E118" i="8"/>
  <c r="F118" i="8" s="1"/>
  <c r="E106" i="8"/>
  <c r="F106" i="8" s="1"/>
  <c r="E86" i="8"/>
  <c r="F86" i="8" s="1"/>
  <c r="E74" i="8"/>
  <c r="F74" i="8" s="1"/>
  <c r="E54" i="8"/>
  <c r="F54" i="8" s="1"/>
  <c r="E34" i="8"/>
  <c r="F34" i="8" s="1"/>
  <c r="D4" i="7"/>
  <c r="E250" i="8"/>
  <c r="F250" i="8" s="1"/>
  <c r="E242" i="8"/>
  <c r="F242" i="8" s="1"/>
  <c r="E238" i="8"/>
  <c r="F238" i="8" s="1"/>
  <c r="E230" i="8"/>
  <c r="F230" i="8" s="1"/>
  <c r="E226" i="8"/>
  <c r="F226" i="8" s="1"/>
  <c r="E222" i="8"/>
  <c r="F222" i="8" s="1"/>
  <c r="E218" i="8"/>
  <c r="F218" i="8" s="1"/>
  <c r="E210" i="8"/>
  <c r="F210" i="8" s="1"/>
  <c r="E206" i="8"/>
  <c r="F206" i="8" s="1"/>
  <c r="E198" i="8"/>
  <c r="F198" i="8" s="1"/>
  <c r="E194" i="8"/>
  <c r="F194" i="8" s="1"/>
  <c r="E190" i="8"/>
  <c r="F190" i="8" s="1"/>
  <c r="E186" i="8"/>
  <c r="F186" i="8" s="1"/>
  <c r="E178" i="8"/>
  <c r="F178" i="8" s="1"/>
  <c r="E174" i="8"/>
  <c r="F174" i="8" s="1"/>
  <c r="E166" i="8"/>
  <c r="F166" i="8" s="1"/>
  <c r="E162" i="8"/>
  <c r="F162" i="8" s="1"/>
  <c r="E158" i="8"/>
  <c r="F158" i="8" s="1"/>
  <c r="E154" i="8"/>
  <c r="F154" i="8" s="1"/>
  <c r="E146" i="8"/>
  <c r="F146" i="8" s="1"/>
  <c r="E142" i="8"/>
  <c r="F142" i="8" s="1"/>
  <c r="E134" i="8"/>
  <c r="F134" i="8" s="1"/>
  <c r="E130" i="8"/>
  <c r="F130" i="8" s="1"/>
  <c r="E126" i="8"/>
  <c r="F126" i="8" s="1"/>
  <c r="E122" i="8"/>
  <c r="F122" i="8" s="1"/>
  <c r="E114" i="8"/>
  <c r="F114" i="8" s="1"/>
  <c r="E110" i="8"/>
  <c r="F110" i="8" s="1"/>
  <c r="E102" i="8"/>
  <c r="F102" i="8" s="1"/>
  <c r="E98" i="8"/>
  <c r="F98" i="8" s="1"/>
  <c r="E94" i="8"/>
  <c r="F94" i="8" s="1"/>
  <c r="E90" i="8"/>
  <c r="F90" i="8" s="1"/>
  <c r="E82" i="8"/>
  <c r="F82" i="8" s="1"/>
  <c r="E78" i="8"/>
  <c r="F78" i="8" s="1"/>
  <c r="E70" i="8"/>
  <c r="F70" i="8" s="1"/>
  <c r="E66" i="8"/>
  <c r="F66" i="8" s="1"/>
  <c r="E62" i="8"/>
  <c r="F62" i="8" s="1"/>
  <c r="E58" i="8"/>
  <c r="F58" i="8" s="1"/>
  <c r="E46" i="8"/>
  <c r="F46" i="8" s="1"/>
  <c r="E42" i="8"/>
  <c r="F42" i="8" s="1"/>
  <c r="E38" i="8"/>
  <c r="F38" i="8" s="1"/>
  <c r="E30" i="8"/>
  <c r="F30" i="8" s="1"/>
  <c r="E26" i="8"/>
  <c r="F26" i="8" s="1"/>
  <c r="E18" i="8"/>
  <c r="F18" i="8" s="1"/>
  <c r="E14" i="8"/>
  <c r="F14" i="8" s="1"/>
  <c r="E10" i="8"/>
  <c r="F10" i="8" s="1"/>
  <c r="E6" i="8"/>
  <c r="F6" i="8" s="1"/>
  <c r="D249" i="7"/>
  <c r="D241" i="7"/>
  <c r="D233" i="7"/>
  <c r="D225" i="7"/>
  <c r="D217" i="7"/>
  <c r="D209" i="7"/>
  <c r="D201" i="7"/>
  <c r="D193" i="7"/>
  <c r="D185" i="7"/>
  <c r="D177" i="7"/>
  <c r="D169" i="7"/>
  <c r="D161" i="7"/>
  <c r="D153" i="7"/>
  <c r="D145" i="7"/>
  <c r="D137" i="7"/>
  <c r="D129" i="7"/>
  <c r="D121" i="7"/>
  <c r="D113" i="7"/>
  <c r="D105" i="7"/>
  <c r="D97" i="7"/>
  <c r="D89" i="7"/>
  <c r="D81" i="7"/>
  <c r="D73" i="7"/>
  <c r="D69" i="7"/>
  <c r="D61" i="7"/>
  <c r="D49" i="7"/>
  <c r="D41" i="7"/>
  <c r="D33" i="7"/>
  <c r="D25" i="7"/>
  <c r="D17" i="7"/>
  <c r="D13" i="7"/>
  <c r="D5" i="7"/>
  <c r="D248" i="7"/>
  <c r="D244" i="7"/>
  <c r="D240" i="7"/>
  <c r="D236" i="7"/>
  <c r="D232" i="7"/>
  <c r="D228" i="7"/>
  <c r="D224" i="7"/>
  <c r="D220" i="7"/>
  <c r="D216" i="7"/>
  <c r="D212" i="7"/>
  <c r="D208" i="7"/>
  <c r="D204" i="7"/>
  <c r="D200" i="7"/>
  <c r="D196" i="7"/>
  <c r="D192" i="7"/>
  <c r="D188" i="7"/>
  <c r="D184" i="7"/>
  <c r="D180" i="7"/>
  <c r="D176" i="7"/>
  <c r="D172" i="7"/>
  <c r="D168" i="7"/>
  <c r="D164" i="7"/>
  <c r="D160" i="7"/>
  <c r="D156" i="7"/>
  <c r="D152" i="7"/>
  <c r="E248" i="8"/>
  <c r="F248" i="8" s="1"/>
  <c r="E240" i="8"/>
  <c r="F240" i="8" s="1"/>
  <c r="E232" i="8"/>
  <c r="F232" i="8" s="1"/>
  <c r="E224" i="8"/>
  <c r="F224" i="8" s="1"/>
  <c r="E216" i="8"/>
  <c r="F216" i="8" s="1"/>
  <c r="E208" i="8"/>
  <c r="F208" i="8" s="1"/>
  <c r="E200" i="8"/>
  <c r="F200" i="8" s="1"/>
  <c r="E192" i="8"/>
  <c r="F192" i="8" s="1"/>
  <c r="E184" i="8"/>
  <c r="F184" i="8" s="1"/>
  <c r="E176" i="8"/>
  <c r="F176" i="8" s="1"/>
  <c r="E168" i="8"/>
  <c r="F168" i="8" s="1"/>
  <c r="E160" i="8"/>
  <c r="F160" i="8" s="1"/>
  <c r="E152" i="8"/>
  <c r="F152" i="8" s="1"/>
  <c r="E144" i="8"/>
  <c r="F144" i="8" s="1"/>
  <c r="E136" i="8"/>
  <c r="F136" i="8" s="1"/>
  <c r="E128" i="8"/>
  <c r="F128" i="8" s="1"/>
  <c r="E120" i="8"/>
  <c r="F120" i="8" s="1"/>
  <c r="E112" i="8"/>
  <c r="F112" i="8" s="1"/>
  <c r="E104" i="8"/>
  <c r="F104" i="8" s="1"/>
  <c r="E96" i="8"/>
  <c r="F96" i="8" s="1"/>
  <c r="E88" i="8"/>
  <c r="F88" i="8" s="1"/>
  <c r="E80" i="8"/>
  <c r="F80" i="8" s="1"/>
  <c r="E72" i="8"/>
  <c r="F72" i="8" s="1"/>
  <c r="E64" i="8"/>
  <c r="F64" i="8" s="1"/>
  <c r="E56" i="8"/>
  <c r="F56" i="8" s="1"/>
  <c r="E44" i="8"/>
  <c r="F44" i="8" s="1"/>
  <c r="E36" i="8"/>
  <c r="F36" i="8" s="1"/>
  <c r="E28" i="8"/>
  <c r="F28" i="8" s="1"/>
  <c r="E20" i="8"/>
  <c r="F20" i="8" s="1"/>
  <c r="E12" i="8"/>
  <c r="F12" i="8" s="1"/>
  <c r="E4" i="8"/>
  <c r="F4" i="8" s="1"/>
  <c r="D148" i="7"/>
  <c r="D144" i="7"/>
  <c r="D140" i="7"/>
  <c r="D136" i="7"/>
  <c r="D132" i="7"/>
  <c r="D128" i="7"/>
  <c r="D124" i="7"/>
  <c r="D120" i="7"/>
  <c r="D116" i="7"/>
  <c r="D112" i="7"/>
  <c r="D108" i="7"/>
  <c r="D104" i="7"/>
  <c r="D100" i="7"/>
  <c r="D96" i="7"/>
  <c r="D92" i="7"/>
  <c r="D88" i="7"/>
  <c r="D84" i="7"/>
  <c r="D80" i="7"/>
  <c r="D76" i="7"/>
  <c r="D72" i="7"/>
  <c r="D68" i="7"/>
  <c r="D36" i="7"/>
  <c r="D250" i="7"/>
  <c r="D242" i="7"/>
  <c r="D234" i="7"/>
  <c r="D226" i="7"/>
  <c r="D218" i="7"/>
  <c r="D214" i="7"/>
  <c r="D210" i="7"/>
  <c r="D206" i="7"/>
  <c r="D198" i="7"/>
  <c r="D194" i="7"/>
  <c r="D190" i="7"/>
  <c r="D186" i="7"/>
  <c r="D182" i="7"/>
  <c r="D178" i="7"/>
  <c r="D174" i="7"/>
  <c r="D170" i="7"/>
  <c r="D166" i="7"/>
  <c r="D162" i="7"/>
  <c r="D158" i="7"/>
  <c r="D154" i="7"/>
  <c r="D150" i="7"/>
  <c r="D146" i="7"/>
  <c r="D142" i="7"/>
  <c r="D138" i="7"/>
  <c r="D134" i="7"/>
  <c r="D130" i="7"/>
  <c r="D126" i="7"/>
  <c r="D122" i="7"/>
  <c r="D118" i="7"/>
  <c r="D114" i="7"/>
  <c r="D110" i="7"/>
  <c r="D106" i="7"/>
  <c r="D102" i="7"/>
  <c r="D98" i="7"/>
  <c r="D94" i="7"/>
  <c r="D90" i="7"/>
  <c r="D86" i="7"/>
  <c r="D82" i="7"/>
  <c r="D78" i="7"/>
  <c r="D74" i="7"/>
  <c r="D70" i="7"/>
  <c r="D66" i="7"/>
  <c r="D62" i="7"/>
  <c r="D58" i="7"/>
  <c r="D54" i="7"/>
  <c r="D50" i="7"/>
  <c r="D46" i="7"/>
  <c r="D42" i="7"/>
  <c r="D38" i="7"/>
  <c r="D34" i="7"/>
  <c r="D30" i="7"/>
  <c r="D26" i="7"/>
  <c r="D22" i="7"/>
  <c r="D18" i="7"/>
  <c r="D14" i="7"/>
  <c r="D10" i="7"/>
  <c r="D6" i="7"/>
  <c r="D246" i="7"/>
  <c r="D238" i="7"/>
  <c r="D230" i="7"/>
  <c r="D222" i="7"/>
  <c r="D202" i="7"/>
  <c r="E251" i="8"/>
  <c r="F251" i="8" s="1"/>
  <c r="E247" i="8"/>
  <c r="F247" i="8" s="1"/>
  <c r="E243" i="8"/>
  <c r="F243" i="8" s="1"/>
  <c r="E239" i="8"/>
  <c r="F239" i="8" s="1"/>
  <c r="E235" i="8"/>
  <c r="F235" i="8" s="1"/>
  <c r="E231" i="8"/>
  <c r="F231" i="8" s="1"/>
  <c r="E227" i="8"/>
  <c r="F227" i="8" s="1"/>
  <c r="E223" i="8"/>
  <c r="F223" i="8" s="1"/>
  <c r="E219" i="8"/>
  <c r="F219" i="8" s="1"/>
  <c r="E215" i="8"/>
  <c r="F215" i="8" s="1"/>
  <c r="E211" i="8"/>
  <c r="F211" i="8" s="1"/>
  <c r="E207" i="8"/>
  <c r="F207" i="8" s="1"/>
  <c r="E203" i="8"/>
  <c r="F203" i="8" s="1"/>
  <c r="E199" i="8"/>
  <c r="F199" i="8" s="1"/>
  <c r="E195" i="8"/>
  <c r="F195" i="8" s="1"/>
  <c r="E191" i="8"/>
  <c r="F191" i="8" s="1"/>
  <c r="E187" i="8"/>
  <c r="F187" i="8" s="1"/>
  <c r="E183" i="8"/>
  <c r="F183" i="8" s="1"/>
  <c r="E179" i="8"/>
  <c r="F179" i="8" s="1"/>
  <c r="E175" i="8"/>
  <c r="F175" i="8" s="1"/>
  <c r="E171" i="8"/>
  <c r="F171" i="8" s="1"/>
  <c r="E167" i="8"/>
  <c r="F167" i="8" s="1"/>
  <c r="E163" i="8"/>
  <c r="F163" i="8" s="1"/>
  <c r="E159" i="8"/>
  <c r="F159" i="8" s="1"/>
  <c r="E155" i="8"/>
  <c r="F155" i="8" s="1"/>
  <c r="E151" i="8"/>
  <c r="F151" i="8" s="1"/>
  <c r="E147" i="8"/>
  <c r="F147" i="8" s="1"/>
  <c r="E143" i="8"/>
  <c r="F143" i="8" s="1"/>
  <c r="E139" i="8"/>
  <c r="F139" i="8" s="1"/>
  <c r="E135" i="8"/>
  <c r="F135" i="8" s="1"/>
  <c r="E131" i="8"/>
  <c r="F131" i="8" s="1"/>
  <c r="E127" i="8"/>
  <c r="F127" i="8" s="1"/>
  <c r="E123" i="8"/>
  <c r="F123" i="8" s="1"/>
  <c r="E119" i="8"/>
  <c r="F119" i="8" s="1"/>
  <c r="E115" i="8"/>
  <c r="F115" i="8" s="1"/>
  <c r="E111" i="8"/>
  <c r="F111" i="8" s="1"/>
  <c r="E107" i="8"/>
  <c r="F107" i="8" s="1"/>
  <c r="E103" i="8"/>
  <c r="F103" i="8" s="1"/>
  <c r="E99" i="8"/>
  <c r="F99" i="8" s="1"/>
  <c r="E95" i="8"/>
  <c r="F95" i="8" s="1"/>
  <c r="E91" i="8"/>
  <c r="F91" i="8" s="1"/>
  <c r="E87" i="8"/>
  <c r="F87" i="8" s="1"/>
  <c r="E83" i="8"/>
  <c r="F83" i="8" s="1"/>
  <c r="E79" i="8"/>
  <c r="F79" i="8" s="1"/>
  <c r="E75" i="8"/>
  <c r="F75" i="8" s="1"/>
  <c r="E71" i="8"/>
  <c r="F71" i="8" s="1"/>
  <c r="E67" i="8"/>
  <c r="F67" i="8" s="1"/>
  <c r="E63" i="8"/>
  <c r="F63" i="8" s="1"/>
  <c r="E59" i="8"/>
  <c r="F59" i="8" s="1"/>
  <c r="E55" i="8"/>
  <c r="F55" i="8" s="1"/>
  <c r="E51" i="8"/>
  <c r="F51" i="8" s="1"/>
  <c r="E47" i="8"/>
  <c r="F47" i="8" s="1"/>
  <c r="E43" i="8"/>
  <c r="F43" i="8" s="1"/>
  <c r="E39" i="8"/>
  <c r="F39" i="8" s="1"/>
  <c r="E35" i="8"/>
  <c r="F35" i="8" s="1"/>
  <c r="E31" i="8"/>
  <c r="F31" i="8" s="1"/>
  <c r="E27" i="8"/>
  <c r="F27" i="8" s="1"/>
  <c r="E23" i="8"/>
  <c r="F23" i="8" s="1"/>
  <c r="E19" i="8"/>
  <c r="F19" i="8" s="1"/>
  <c r="E15" i="8"/>
  <c r="F15" i="8" s="1"/>
  <c r="E11" i="8"/>
  <c r="F11" i="8" s="1"/>
  <c r="E7" i="8"/>
  <c r="F7" i="8" s="1"/>
  <c r="D60" i="7"/>
  <c r="D16" i="7"/>
  <c r="D64" i="7"/>
  <c r="D56" i="7"/>
  <c r="D52" i="7"/>
  <c r="D48" i="7"/>
  <c r="D44" i="7"/>
  <c r="D40" i="7"/>
  <c r="D32" i="7"/>
  <c r="E50" i="8"/>
  <c r="F50" i="8" s="1"/>
  <c r="D24" i="7"/>
  <c r="D20" i="7"/>
  <c r="D28" i="7"/>
  <c r="D12" i="7"/>
  <c r="D8" i="7"/>
  <c r="D51" i="7"/>
  <c r="D47" i="7"/>
  <c r="D43" i="7"/>
  <c r="D39" i="7"/>
  <c r="D35" i="7"/>
  <c r="D251" i="7"/>
  <c r="D247" i="7"/>
  <c r="D243" i="7"/>
  <c r="D239" i="7"/>
  <c r="D235" i="7"/>
  <c r="D231" i="7"/>
  <c r="D227" i="7"/>
  <c r="D223" i="7"/>
  <c r="D219" i="7"/>
  <c r="D215" i="7"/>
  <c r="D211" i="7"/>
  <c r="D207" i="7"/>
  <c r="D203" i="7"/>
  <c r="D199" i="7"/>
  <c r="D195" i="7"/>
  <c r="D191" i="7"/>
  <c r="D187" i="7"/>
  <c r="D183" i="7"/>
  <c r="D179" i="7"/>
  <c r="D175" i="7"/>
  <c r="D171" i="7"/>
  <c r="D167" i="7"/>
  <c r="D163" i="7"/>
  <c r="D159" i="7"/>
  <c r="D155" i="7"/>
  <c r="D151" i="7"/>
  <c r="D147" i="7"/>
  <c r="D143" i="7"/>
  <c r="D139" i="7"/>
  <c r="D135" i="7"/>
  <c r="D131" i="7"/>
  <c r="D127" i="7"/>
  <c r="D123" i="7"/>
  <c r="D119" i="7"/>
  <c r="D115" i="7"/>
  <c r="D111" i="7"/>
  <c r="D107" i="7"/>
  <c r="D103" i="7"/>
  <c r="D99" i="7"/>
  <c r="D95" i="7"/>
  <c r="D91" i="7"/>
  <c r="D87" i="7"/>
  <c r="D83" i="7"/>
  <c r="D79" i="7"/>
  <c r="D75" i="7"/>
  <c r="D71" i="7"/>
  <c r="D67" i="7"/>
  <c r="D63" i="7"/>
  <c r="D59" i="7"/>
  <c r="D55" i="7"/>
  <c r="D31" i="7"/>
  <c r="D27" i="7"/>
  <c r="D23" i="7"/>
  <c r="D19" i="7"/>
  <c r="D15" i="7"/>
  <c r="D11" i="7"/>
  <c r="D7" i="7"/>
  <c r="U17" i="9"/>
  <c r="V17" i="9"/>
  <c r="W17" i="9"/>
  <c r="U12" i="9"/>
  <c r="V12" i="9" s="1"/>
  <c r="W7" i="9"/>
  <c r="W6" i="9"/>
  <c r="V6" i="9"/>
  <c r="D9" i="9"/>
  <c r="D13" i="9"/>
  <c r="D17" i="9"/>
  <c r="D25" i="9"/>
  <c r="D29" i="9"/>
  <c r="D33" i="9"/>
  <c r="D41" i="9"/>
  <c r="D45" i="9"/>
  <c r="D49" i="9"/>
  <c r="D57" i="9"/>
  <c r="D61" i="9"/>
  <c r="D65" i="9"/>
  <c r="D73" i="9"/>
  <c r="D77" i="9"/>
  <c r="D81" i="9"/>
  <c r="D89" i="9"/>
  <c r="D93" i="9"/>
  <c r="D97" i="9"/>
  <c r="D105" i="9"/>
  <c r="D109" i="9"/>
  <c r="D113" i="9"/>
  <c r="D121" i="9"/>
  <c r="D125" i="9"/>
  <c r="D129" i="9"/>
  <c r="D137" i="9"/>
  <c r="D141" i="9"/>
  <c r="D145" i="9"/>
  <c r="D153" i="9"/>
  <c r="D157" i="9"/>
  <c r="D161" i="9"/>
  <c r="D169" i="9"/>
  <c r="D173" i="9"/>
  <c r="D177" i="9"/>
  <c r="D185" i="9"/>
  <c r="D189" i="9"/>
  <c r="D193" i="9"/>
  <c r="D201" i="9"/>
  <c r="D205" i="9"/>
  <c r="D209" i="9"/>
  <c r="D217" i="9"/>
  <c r="D221" i="9"/>
  <c r="D225" i="9"/>
  <c r="D233" i="9"/>
  <c r="D237" i="9"/>
  <c r="D241" i="9"/>
  <c r="D249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D5" i="9"/>
  <c r="D16" i="9"/>
  <c r="D21" i="9"/>
  <c r="D32" i="9"/>
  <c r="D37" i="9"/>
  <c r="D42" i="9"/>
  <c r="D48" i="9"/>
  <c r="D53" i="9"/>
  <c r="D58" i="9"/>
  <c r="D64" i="9"/>
  <c r="D69" i="9"/>
  <c r="D80" i="9"/>
  <c r="D85" i="9"/>
  <c r="D96" i="9"/>
  <c r="D101" i="9"/>
  <c r="D106" i="9"/>
  <c r="D112" i="9"/>
  <c r="D117" i="9"/>
  <c r="D122" i="9"/>
  <c r="D128" i="9"/>
  <c r="D133" i="9"/>
  <c r="D144" i="9"/>
  <c r="D149" i="9"/>
  <c r="D160" i="9"/>
  <c r="D165" i="9"/>
  <c r="D170" i="9"/>
  <c r="D176" i="9"/>
  <c r="D181" i="9"/>
  <c r="D186" i="9"/>
  <c r="D192" i="9"/>
  <c r="D197" i="9"/>
  <c r="D208" i="9"/>
  <c r="D213" i="9"/>
  <c r="D224" i="9"/>
  <c r="D229" i="9"/>
  <c r="D234" i="9"/>
  <c r="D240" i="9"/>
  <c r="D245" i="9"/>
  <c r="D250" i="9"/>
  <c r="I20" i="7"/>
  <c r="J20" i="7" s="1"/>
  <c r="J15" i="6"/>
  <c r="I15" i="6"/>
  <c r="U25" i="9" s="1"/>
  <c r="V25" i="9" s="1"/>
  <c r="J19" i="7"/>
  <c r="I19" i="7"/>
  <c r="K9" i="7"/>
  <c r="K8" i="7"/>
  <c r="J8" i="7"/>
  <c r="V13" i="9" l="1"/>
  <c r="W13" i="9" s="1"/>
  <c r="D26" i="9"/>
  <c r="D218" i="9"/>
  <c r="D202" i="9"/>
  <c r="D154" i="9"/>
  <c r="D138" i="9"/>
  <c r="D90" i="9"/>
  <c r="D74" i="9"/>
  <c r="D10" i="9"/>
  <c r="D244" i="9"/>
  <c r="D228" i="9"/>
  <c r="D212" i="9"/>
  <c r="D196" i="9"/>
  <c r="D180" i="9"/>
  <c r="D164" i="9"/>
  <c r="D148" i="9"/>
  <c r="D132" i="9"/>
  <c r="D116" i="9"/>
  <c r="D100" i="9"/>
  <c r="D84" i="9"/>
  <c r="D68" i="9"/>
  <c r="D52" i="9"/>
  <c r="D36" i="9"/>
  <c r="D20" i="9"/>
  <c r="D4" i="9"/>
  <c r="D3" i="9"/>
  <c r="D248" i="9"/>
  <c r="D236" i="9"/>
  <c r="D232" i="9"/>
  <c r="D220" i="9"/>
  <c r="D216" i="9"/>
  <c r="D204" i="9"/>
  <c r="D200" i="9"/>
  <c r="D188" i="9"/>
  <c r="D184" i="9"/>
  <c r="D172" i="9"/>
  <c r="D168" i="9"/>
  <c r="D156" i="9"/>
  <c r="D152" i="9"/>
  <c r="D140" i="9"/>
  <c r="D136" i="9"/>
  <c r="D124" i="9"/>
  <c r="D120" i="9"/>
  <c r="D108" i="9"/>
  <c r="D104" i="9"/>
  <c r="D92" i="9"/>
  <c r="D88" i="9"/>
  <c r="D76" i="9"/>
  <c r="D72" i="9"/>
  <c r="D60" i="9"/>
  <c r="D56" i="9"/>
  <c r="D44" i="9"/>
  <c r="D40" i="9"/>
  <c r="D28" i="9"/>
  <c r="D24" i="9"/>
  <c r="D12" i="9"/>
  <c r="D8" i="9"/>
  <c r="D246" i="9"/>
  <c r="D242" i="9"/>
  <c r="D238" i="9"/>
  <c r="D230" i="9"/>
  <c r="D226" i="9"/>
  <c r="D222" i="9"/>
  <c r="D214" i="9"/>
  <c r="D210" i="9"/>
  <c r="D206" i="9"/>
  <c r="D198" i="9"/>
  <c r="D194" i="9"/>
  <c r="D190" i="9"/>
  <c r="D182" i="9"/>
  <c r="D178" i="9"/>
  <c r="D174" i="9"/>
  <c r="D166" i="9"/>
  <c r="D162" i="9"/>
  <c r="D158" i="9"/>
  <c r="D150" i="9"/>
  <c r="D146" i="9"/>
  <c r="D142" i="9"/>
  <c r="D134" i="9"/>
  <c r="D130" i="9"/>
  <c r="D126" i="9"/>
  <c r="D118" i="9"/>
  <c r="D114" i="9"/>
  <c r="D110" i="9"/>
  <c r="D102" i="9"/>
  <c r="D98" i="9"/>
  <c r="D94" i="9"/>
  <c r="D86" i="9"/>
  <c r="D82" i="9"/>
  <c r="D78" i="9"/>
  <c r="D70" i="9"/>
  <c r="D66" i="9"/>
  <c r="D62" i="9"/>
  <c r="D54" i="9"/>
  <c r="D50" i="9"/>
  <c r="D46" i="9"/>
  <c r="D38" i="9"/>
  <c r="D34" i="9"/>
  <c r="D30" i="9"/>
  <c r="D22" i="9"/>
  <c r="D18" i="9"/>
  <c r="D14" i="9"/>
  <c r="D6" i="9"/>
  <c r="H3" i="9" a="1"/>
  <c r="D251" i="9"/>
  <c r="D247" i="9"/>
  <c r="D243" i="9"/>
  <c r="D239" i="9"/>
  <c r="D235" i="9"/>
  <c r="D231" i="9"/>
  <c r="D227" i="9"/>
  <c r="D223" i="9"/>
  <c r="D219" i="9"/>
  <c r="D215" i="9"/>
  <c r="D211" i="9"/>
  <c r="D207" i="9"/>
  <c r="D203" i="9"/>
  <c r="D199" i="9"/>
  <c r="D195" i="9"/>
  <c r="D191" i="9"/>
  <c r="D187" i="9"/>
  <c r="D183" i="9"/>
  <c r="D179" i="9"/>
  <c r="D175" i="9"/>
  <c r="D171" i="9"/>
  <c r="D167" i="9"/>
  <c r="D163" i="9"/>
  <c r="D159" i="9"/>
  <c r="D155" i="9"/>
  <c r="D151" i="9"/>
  <c r="D147" i="9"/>
  <c r="D143" i="9"/>
  <c r="D139" i="9"/>
  <c r="D135" i="9"/>
  <c r="D131" i="9"/>
  <c r="D127" i="9"/>
  <c r="D123" i="9"/>
  <c r="D119" i="9"/>
  <c r="D115" i="9"/>
  <c r="D111" i="9"/>
  <c r="D107" i="9"/>
  <c r="D103" i="9"/>
  <c r="D99" i="9"/>
  <c r="D95" i="9"/>
  <c r="D91" i="9"/>
  <c r="D87" i="9"/>
  <c r="D83" i="9"/>
  <c r="D79" i="9"/>
  <c r="D75" i="9"/>
  <c r="D71" i="9"/>
  <c r="D67" i="9"/>
  <c r="D63" i="9"/>
  <c r="D59" i="9"/>
  <c r="D55" i="9"/>
  <c r="D51" i="9"/>
  <c r="D47" i="9"/>
  <c r="D43" i="9"/>
  <c r="D39" i="9"/>
  <c r="D35" i="9"/>
  <c r="D31" i="9"/>
  <c r="D27" i="9"/>
  <c r="D23" i="9"/>
  <c r="D19" i="9"/>
  <c r="D15" i="9"/>
  <c r="D11" i="9"/>
  <c r="D7" i="9"/>
  <c r="E3" i="8"/>
  <c r="J11" i="6"/>
  <c r="I11" i="6"/>
  <c r="I1" i="13" l="1" a="1"/>
  <c r="F3" i="8"/>
  <c r="N3" i="9"/>
  <c r="N4" i="9"/>
  <c r="N8" i="9"/>
  <c r="N12" i="9"/>
  <c r="N16" i="9"/>
  <c r="N20" i="9"/>
  <c r="N24" i="9"/>
  <c r="N28" i="9"/>
  <c r="N32" i="9"/>
  <c r="N36" i="9"/>
  <c r="N40" i="9"/>
  <c r="N44" i="9"/>
  <c r="N48" i="9"/>
  <c r="N52" i="9"/>
  <c r="N56" i="9"/>
  <c r="N60" i="9"/>
  <c r="N64" i="9"/>
  <c r="N68" i="9"/>
  <c r="N72" i="9"/>
  <c r="N76" i="9"/>
  <c r="N80" i="9"/>
  <c r="N84" i="9"/>
  <c r="N88" i="9"/>
  <c r="N92" i="9"/>
  <c r="N96" i="9"/>
  <c r="N100" i="9"/>
  <c r="N104" i="9"/>
  <c r="N108" i="9"/>
  <c r="N112" i="9"/>
  <c r="N116" i="9"/>
  <c r="N120" i="9"/>
  <c r="N124" i="9"/>
  <c r="N128" i="9"/>
  <c r="N132" i="9"/>
  <c r="N136" i="9"/>
  <c r="N140" i="9"/>
  <c r="N144" i="9"/>
  <c r="N148" i="9"/>
  <c r="N152" i="9"/>
  <c r="N156" i="9"/>
  <c r="N160" i="9"/>
  <c r="N164" i="9"/>
  <c r="N168" i="9"/>
  <c r="N172" i="9"/>
  <c r="N176" i="9"/>
  <c r="N180" i="9"/>
  <c r="N184" i="9"/>
  <c r="N188" i="9"/>
  <c r="N192" i="9"/>
  <c r="N196" i="9"/>
  <c r="N200" i="9"/>
  <c r="N204" i="9"/>
  <c r="N208" i="9"/>
  <c r="N212" i="9"/>
  <c r="N216" i="9"/>
  <c r="N220" i="9"/>
  <c r="N224" i="9"/>
  <c r="N228" i="9"/>
  <c r="N232" i="9"/>
  <c r="N236" i="9"/>
  <c r="N240" i="9"/>
  <c r="N244" i="9"/>
  <c r="N248" i="9"/>
  <c r="N22" i="9"/>
  <c r="N94" i="9"/>
  <c r="N102" i="9"/>
  <c r="N110" i="9"/>
  <c r="N5" i="9"/>
  <c r="N9" i="9"/>
  <c r="N13" i="9"/>
  <c r="N17" i="9"/>
  <c r="N21" i="9"/>
  <c r="N25" i="9"/>
  <c r="N29" i="9"/>
  <c r="N33" i="9"/>
  <c r="N37" i="9"/>
  <c r="N41" i="9"/>
  <c r="N45" i="9"/>
  <c r="N49" i="9"/>
  <c r="N53" i="9"/>
  <c r="N57" i="9"/>
  <c r="N61" i="9"/>
  <c r="N65" i="9"/>
  <c r="N69" i="9"/>
  <c r="N73" i="9"/>
  <c r="N77" i="9"/>
  <c r="N81" i="9"/>
  <c r="N85" i="9"/>
  <c r="N89" i="9"/>
  <c r="N93" i="9"/>
  <c r="N97" i="9"/>
  <c r="N101" i="9"/>
  <c r="N105" i="9"/>
  <c r="N109" i="9"/>
  <c r="N113" i="9"/>
  <c r="N117" i="9"/>
  <c r="N121" i="9"/>
  <c r="N125" i="9"/>
  <c r="N129" i="9"/>
  <c r="N133" i="9"/>
  <c r="N137" i="9"/>
  <c r="N141" i="9"/>
  <c r="N145" i="9"/>
  <c r="N149" i="9"/>
  <c r="N153" i="9"/>
  <c r="N157" i="9"/>
  <c r="N161" i="9"/>
  <c r="N165" i="9"/>
  <c r="N169" i="9"/>
  <c r="N173" i="9"/>
  <c r="N177" i="9"/>
  <c r="N181" i="9"/>
  <c r="N185" i="9"/>
  <c r="N189" i="9"/>
  <c r="N193" i="9"/>
  <c r="N197" i="9"/>
  <c r="N201" i="9"/>
  <c r="N205" i="9"/>
  <c r="N209" i="9"/>
  <c r="N213" i="9"/>
  <c r="N217" i="9"/>
  <c r="N221" i="9"/>
  <c r="N225" i="9"/>
  <c r="N229" i="9"/>
  <c r="N233" i="9"/>
  <c r="N237" i="9"/>
  <c r="N241" i="9"/>
  <c r="N245" i="9"/>
  <c r="N249" i="9"/>
  <c r="N6" i="9"/>
  <c r="N10" i="9"/>
  <c r="N14" i="9"/>
  <c r="N18" i="9"/>
  <c r="N26" i="9"/>
  <c r="N30" i="9"/>
  <c r="N34" i="9"/>
  <c r="N38" i="9"/>
  <c r="N42" i="9"/>
  <c r="N46" i="9"/>
  <c r="N50" i="9"/>
  <c r="N54" i="9"/>
  <c r="N58" i="9"/>
  <c r="N62" i="9"/>
  <c r="N66" i="9"/>
  <c r="N70" i="9"/>
  <c r="N74" i="9"/>
  <c r="N78" i="9"/>
  <c r="N82" i="9"/>
  <c r="N86" i="9"/>
  <c r="N90" i="9"/>
  <c r="N98" i="9"/>
  <c r="Q98" i="9" s="1"/>
  <c r="N106" i="9"/>
  <c r="N7" i="9"/>
  <c r="N23" i="9"/>
  <c r="N39" i="9"/>
  <c r="N55" i="9"/>
  <c r="N71" i="9"/>
  <c r="Q71" i="9" s="1"/>
  <c r="N87" i="9"/>
  <c r="N103" i="9"/>
  <c r="N115" i="9"/>
  <c r="N123" i="9"/>
  <c r="N131" i="9"/>
  <c r="N139" i="9"/>
  <c r="N147" i="9"/>
  <c r="N155" i="9"/>
  <c r="N163" i="9"/>
  <c r="N171" i="9"/>
  <c r="N179" i="9"/>
  <c r="N187" i="9"/>
  <c r="N195" i="9"/>
  <c r="N203" i="9"/>
  <c r="N211" i="9"/>
  <c r="N219" i="9"/>
  <c r="N227" i="9"/>
  <c r="N235" i="9"/>
  <c r="N243" i="9"/>
  <c r="N251" i="9"/>
  <c r="N31" i="9"/>
  <c r="N207" i="9"/>
  <c r="N223" i="9"/>
  <c r="N247" i="9"/>
  <c r="N35" i="9"/>
  <c r="N67" i="9"/>
  <c r="N99" i="9"/>
  <c r="N122" i="9"/>
  <c r="Q122" i="9" s="1"/>
  <c r="N138" i="9"/>
  <c r="N154" i="9"/>
  <c r="N170" i="9"/>
  <c r="N186" i="9"/>
  <c r="Q186" i="9" s="1"/>
  <c r="N202" i="9"/>
  <c r="N218" i="9"/>
  <c r="N226" i="9"/>
  <c r="N242" i="9"/>
  <c r="N11" i="9"/>
  <c r="N27" i="9"/>
  <c r="N43" i="9"/>
  <c r="N59" i="9"/>
  <c r="N75" i="9"/>
  <c r="N91" i="9"/>
  <c r="N107" i="9"/>
  <c r="Q107" i="9" s="1"/>
  <c r="N118" i="9"/>
  <c r="N126" i="9"/>
  <c r="Q126" i="9" s="1"/>
  <c r="N134" i="9"/>
  <c r="N142" i="9"/>
  <c r="N150" i="9"/>
  <c r="N158" i="9"/>
  <c r="Q158" i="9" s="1"/>
  <c r="N166" i="9"/>
  <c r="N174" i="9"/>
  <c r="N182" i="9"/>
  <c r="N190" i="9"/>
  <c r="Q190" i="9" s="1"/>
  <c r="N198" i="9"/>
  <c r="N206" i="9"/>
  <c r="N214" i="9"/>
  <c r="N222" i="9"/>
  <c r="Q222" i="9" s="1"/>
  <c r="N230" i="9"/>
  <c r="N238" i="9"/>
  <c r="N246" i="9"/>
  <c r="N15" i="9"/>
  <c r="N47" i="9"/>
  <c r="Q47" i="9" s="1"/>
  <c r="N63" i="9"/>
  <c r="N79" i="9"/>
  <c r="N95" i="9"/>
  <c r="N111" i="9"/>
  <c r="Q111" i="9" s="1"/>
  <c r="N119" i="9"/>
  <c r="N127" i="9"/>
  <c r="N135" i="9"/>
  <c r="N143" i="9"/>
  <c r="N151" i="9"/>
  <c r="N159" i="9"/>
  <c r="N167" i="9"/>
  <c r="N175" i="9"/>
  <c r="N183" i="9"/>
  <c r="N191" i="9"/>
  <c r="N199" i="9"/>
  <c r="N215" i="9"/>
  <c r="N231" i="9"/>
  <c r="N239" i="9"/>
  <c r="N19" i="9"/>
  <c r="N51" i="9"/>
  <c r="N83" i="9"/>
  <c r="N114" i="9"/>
  <c r="N130" i="9"/>
  <c r="N146" i="9"/>
  <c r="Q146" i="9" s="1"/>
  <c r="N162" i="9"/>
  <c r="N178" i="9"/>
  <c r="N194" i="9"/>
  <c r="N210" i="9"/>
  <c r="Q210" i="9" s="1"/>
  <c r="N234" i="9"/>
  <c r="N250" i="9"/>
  <c r="Q250" i="9" s="1"/>
  <c r="M3" i="9"/>
  <c r="M4" i="9"/>
  <c r="M8" i="9"/>
  <c r="M12" i="9"/>
  <c r="M16" i="9"/>
  <c r="M20" i="9"/>
  <c r="M24" i="9"/>
  <c r="M28" i="9"/>
  <c r="M32" i="9"/>
  <c r="M36" i="9"/>
  <c r="M40" i="9"/>
  <c r="M44" i="9"/>
  <c r="M48" i="9"/>
  <c r="M52" i="9"/>
  <c r="M56" i="9"/>
  <c r="M60" i="9"/>
  <c r="M64" i="9"/>
  <c r="M68" i="9"/>
  <c r="M72" i="9"/>
  <c r="M76" i="9"/>
  <c r="M80" i="9"/>
  <c r="M84" i="9"/>
  <c r="M88" i="9"/>
  <c r="M92" i="9"/>
  <c r="M96" i="9"/>
  <c r="M100" i="9"/>
  <c r="M104" i="9"/>
  <c r="M108" i="9"/>
  <c r="M112" i="9"/>
  <c r="M116" i="9"/>
  <c r="M120" i="9"/>
  <c r="M124" i="9"/>
  <c r="M128" i="9"/>
  <c r="M132" i="9"/>
  <c r="M136" i="9"/>
  <c r="M140" i="9"/>
  <c r="M144" i="9"/>
  <c r="M148" i="9"/>
  <c r="M152" i="9"/>
  <c r="M156" i="9"/>
  <c r="M160" i="9"/>
  <c r="M164" i="9"/>
  <c r="M168" i="9"/>
  <c r="M172" i="9"/>
  <c r="M176" i="9"/>
  <c r="M180" i="9"/>
  <c r="M184" i="9"/>
  <c r="M188" i="9"/>
  <c r="M192" i="9"/>
  <c r="M196" i="9"/>
  <c r="M200" i="9"/>
  <c r="M204" i="9"/>
  <c r="M208" i="9"/>
  <c r="M212" i="9"/>
  <c r="M216" i="9"/>
  <c r="M220" i="9"/>
  <c r="M224" i="9"/>
  <c r="M228" i="9"/>
  <c r="M232" i="9"/>
  <c r="M236" i="9"/>
  <c r="M240" i="9"/>
  <c r="M244" i="9"/>
  <c r="M248" i="9"/>
  <c r="M23" i="9"/>
  <c r="M171" i="9"/>
  <c r="M191" i="9"/>
  <c r="M207" i="9"/>
  <c r="M5" i="9"/>
  <c r="M9" i="9"/>
  <c r="M13" i="9"/>
  <c r="M17" i="9"/>
  <c r="M21" i="9"/>
  <c r="M25" i="9"/>
  <c r="M29" i="9"/>
  <c r="M33" i="9"/>
  <c r="M37" i="9"/>
  <c r="M41" i="9"/>
  <c r="M45" i="9"/>
  <c r="M49" i="9"/>
  <c r="M53" i="9"/>
  <c r="M57" i="9"/>
  <c r="M61" i="9"/>
  <c r="M65" i="9"/>
  <c r="M69" i="9"/>
  <c r="M73" i="9"/>
  <c r="M77" i="9"/>
  <c r="M81" i="9"/>
  <c r="M85" i="9"/>
  <c r="M89" i="9"/>
  <c r="M93" i="9"/>
  <c r="M97" i="9"/>
  <c r="M101" i="9"/>
  <c r="M105" i="9"/>
  <c r="M109" i="9"/>
  <c r="M113" i="9"/>
  <c r="M117" i="9"/>
  <c r="M121" i="9"/>
  <c r="M125" i="9"/>
  <c r="M129" i="9"/>
  <c r="M133" i="9"/>
  <c r="M137" i="9"/>
  <c r="M141" i="9"/>
  <c r="M145" i="9"/>
  <c r="M149" i="9"/>
  <c r="M153" i="9"/>
  <c r="M157" i="9"/>
  <c r="M161" i="9"/>
  <c r="M165" i="9"/>
  <c r="M169" i="9"/>
  <c r="M173" i="9"/>
  <c r="M177" i="9"/>
  <c r="M181" i="9"/>
  <c r="M185" i="9"/>
  <c r="M189" i="9"/>
  <c r="M193" i="9"/>
  <c r="M197" i="9"/>
  <c r="M201" i="9"/>
  <c r="M205" i="9"/>
  <c r="M209" i="9"/>
  <c r="M213" i="9"/>
  <c r="M217" i="9"/>
  <c r="M221" i="9"/>
  <c r="M225" i="9"/>
  <c r="M229" i="9"/>
  <c r="M233" i="9"/>
  <c r="M237" i="9"/>
  <c r="M241" i="9"/>
  <c r="M245" i="9"/>
  <c r="M249" i="9"/>
  <c r="M11" i="9"/>
  <c r="M19" i="9"/>
  <c r="M31" i="9"/>
  <c r="M39" i="9"/>
  <c r="M47" i="9"/>
  <c r="M55" i="9"/>
  <c r="M63" i="9"/>
  <c r="M71" i="9"/>
  <c r="M79" i="9"/>
  <c r="M87" i="9"/>
  <c r="M95" i="9"/>
  <c r="M103" i="9"/>
  <c r="M111" i="9"/>
  <c r="M119" i="9"/>
  <c r="M127" i="9"/>
  <c r="M135" i="9"/>
  <c r="M143" i="9"/>
  <c r="M151" i="9"/>
  <c r="M159" i="9"/>
  <c r="M167" i="9"/>
  <c r="M179" i="9"/>
  <c r="M187" i="9"/>
  <c r="M199" i="9"/>
  <c r="M6" i="9"/>
  <c r="M10" i="9"/>
  <c r="M14" i="9"/>
  <c r="M18" i="9"/>
  <c r="M22" i="9"/>
  <c r="M26" i="9"/>
  <c r="M30" i="9"/>
  <c r="M34" i="9"/>
  <c r="M38" i="9"/>
  <c r="M42" i="9"/>
  <c r="M46" i="9"/>
  <c r="M50" i="9"/>
  <c r="M54" i="9"/>
  <c r="M58" i="9"/>
  <c r="M62" i="9"/>
  <c r="M66" i="9"/>
  <c r="M70" i="9"/>
  <c r="M74" i="9"/>
  <c r="M78" i="9"/>
  <c r="M82" i="9"/>
  <c r="M86" i="9"/>
  <c r="M90" i="9"/>
  <c r="M94" i="9"/>
  <c r="M98" i="9"/>
  <c r="M102" i="9"/>
  <c r="M106" i="9"/>
  <c r="M110" i="9"/>
  <c r="M114" i="9"/>
  <c r="M118" i="9"/>
  <c r="M122" i="9"/>
  <c r="M126" i="9"/>
  <c r="M130" i="9"/>
  <c r="M134" i="9"/>
  <c r="M138" i="9"/>
  <c r="M142" i="9"/>
  <c r="M146" i="9"/>
  <c r="M150" i="9"/>
  <c r="M154" i="9"/>
  <c r="M158" i="9"/>
  <c r="M162" i="9"/>
  <c r="M166" i="9"/>
  <c r="M170" i="9"/>
  <c r="M174" i="9"/>
  <c r="M178" i="9"/>
  <c r="M182" i="9"/>
  <c r="M186" i="9"/>
  <c r="M190" i="9"/>
  <c r="M194" i="9"/>
  <c r="M198" i="9"/>
  <c r="M202" i="9"/>
  <c r="M206" i="9"/>
  <c r="M210" i="9"/>
  <c r="M214" i="9"/>
  <c r="M218" i="9"/>
  <c r="M222" i="9"/>
  <c r="M226" i="9"/>
  <c r="M230" i="9"/>
  <c r="M234" i="9"/>
  <c r="M238" i="9"/>
  <c r="M242" i="9"/>
  <c r="M246" i="9"/>
  <c r="M250" i="9"/>
  <c r="M7" i="9"/>
  <c r="M15" i="9"/>
  <c r="M27" i="9"/>
  <c r="M35" i="9"/>
  <c r="M43" i="9"/>
  <c r="M51" i="9"/>
  <c r="P51" i="9" s="1"/>
  <c r="M59" i="9"/>
  <c r="M67" i="9"/>
  <c r="M75" i="9"/>
  <c r="M83" i="9"/>
  <c r="P83" i="9" s="1"/>
  <c r="M91" i="9"/>
  <c r="M99" i="9"/>
  <c r="M107" i="9"/>
  <c r="M115" i="9"/>
  <c r="P115" i="9" s="1"/>
  <c r="M123" i="9"/>
  <c r="M131" i="9"/>
  <c r="M139" i="9"/>
  <c r="M147" i="9"/>
  <c r="M155" i="9"/>
  <c r="M163" i="9"/>
  <c r="M175" i="9"/>
  <c r="P175" i="9" s="1"/>
  <c r="M183" i="9"/>
  <c r="M195" i="9"/>
  <c r="M203" i="9"/>
  <c r="P203" i="9" s="1"/>
  <c r="M223" i="9"/>
  <c r="P223" i="9" s="1"/>
  <c r="M239" i="9"/>
  <c r="M219" i="9"/>
  <c r="M211" i="9"/>
  <c r="M227" i="9"/>
  <c r="M243" i="9"/>
  <c r="P243" i="9" s="1"/>
  <c r="M235" i="9"/>
  <c r="M215" i="9"/>
  <c r="M231" i="9"/>
  <c r="M247" i="9"/>
  <c r="M251" i="9"/>
  <c r="H3" i="9"/>
  <c r="L3" i="9" s="1"/>
  <c r="L4" i="9"/>
  <c r="L8" i="9"/>
  <c r="L12" i="9"/>
  <c r="L16" i="9"/>
  <c r="L20" i="9"/>
  <c r="L24" i="9"/>
  <c r="L28" i="9"/>
  <c r="L32" i="9"/>
  <c r="L36" i="9"/>
  <c r="L40" i="9"/>
  <c r="L44" i="9"/>
  <c r="L48" i="9"/>
  <c r="L52" i="9"/>
  <c r="L56" i="9"/>
  <c r="L60" i="9"/>
  <c r="L64" i="9"/>
  <c r="L68" i="9"/>
  <c r="L72" i="9"/>
  <c r="L76" i="9"/>
  <c r="L80" i="9"/>
  <c r="L84" i="9"/>
  <c r="L88" i="9"/>
  <c r="L92" i="9"/>
  <c r="L96" i="9"/>
  <c r="L100" i="9"/>
  <c r="L104" i="9"/>
  <c r="L108" i="9"/>
  <c r="L112" i="9"/>
  <c r="L116" i="9"/>
  <c r="L120" i="9"/>
  <c r="L124" i="9"/>
  <c r="L128" i="9"/>
  <c r="L132" i="9"/>
  <c r="L136" i="9"/>
  <c r="L140" i="9"/>
  <c r="L144" i="9"/>
  <c r="L148" i="9"/>
  <c r="L152" i="9"/>
  <c r="L156" i="9"/>
  <c r="L160" i="9"/>
  <c r="L164" i="9"/>
  <c r="L168" i="9"/>
  <c r="L172" i="9"/>
  <c r="L176" i="9"/>
  <c r="L180" i="9"/>
  <c r="L184" i="9"/>
  <c r="L188" i="9"/>
  <c r="L192" i="9"/>
  <c r="L196" i="9"/>
  <c r="L200" i="9"/>
  <c r="L204" i="9"/>
  <c r="L208" i="9"/>
  <c r="L212" i="9"/>
  <c r="L216" i="9"/>
  <c r="L220" i="9"/>
  <c r="L224" i="9"/>
  <c r="L228" i="9"/>
  <c r="L232" i="9"/>
  <c r="L236" i="9"/>
  <c r="L240" i="9"/>
  <c r="L244" i="9"/>
  <c r="L248" i="9"/>
  <c r="L15" i="9"/>
  <c r="L163" i="9"/>
  <c r="L187" i="9"/>
  <c r="L199" i="9"/>
  <c r="L5" i="9"/>
  <c r="L9" i="9"/>
  <c r="L13" i="9"/>
  <c r="L17" i="9"/>
  <c r="L21" i="9"/>
  <c r="L25" i="9"/>
  <c r="L29" i="9"/>
  <c r="L33" i="9"/>
  <c r="L37" i="9"/>
  <c r="L41" i="9"/>
  <c r="L45" i="9"/>
  <c r="L49" i="9"/>
  <c r="L53" i="9"/>
  <c r="L57" i="9"/>
  <c r="L61" i="9"/>
  <c r="L65" i="9"/>
  <c r="L69" i="9"/>
  <c r="L73" i="9"/>
  <c r="L77" i="9"/>
  <c r="L81" i="9"/>
  <c r="L85" i="9"/>
  <c r="L89" i="9"/>
  <c r="L93" i="9"/>
  <c r="L97" i="9"/>
  <c r="L101" i="9"/>
  <c r="L105" i="9"/>
  <c r="L109" i="9"/>
  <c r="L113" i="9"/>
  <c r="L117" i="9"/>
  <c r="L121" i="9"/>
  <c r="L125" i="9"/>
  <c r="L129" i="9"/>
  <c r="L133" i="9"/>
  <c r="L137" i="9"/>
  <c r="L141" i="9"/>
  <c r="L145" i="9"/>
  <c r="L149" i="9"/>
  <c r="L153" i="9"/>
  <c r="L157" i="9"/>
  <c r="L161" i="9"/>
  <c r="L165" i="9"/>
  <c r="L169" i="9"/>
  <c r="L173" i="9"/>
  <c r="L177" i="9"/>
  <c r="L181" i="9"/>
  <c r="L185" i="9"/>
  <c r="L189" i="9"/>
  <c r="L193" i="9"/>
  <c r="L197" i="9"/>
  <c r="L201" i="9"/>
  <c r="L205" i="9"/>
  <c r="L209" i="9"/>
  <c r="L213" i="9"/>
  <c r="L217" i="9"/>
  <c r="L221" i="9"/>
  <c r="L225" i="9"/>
  <c r="L229" i="9"/>
  <c r="L233" i="9"/>
  <c r="L237" i="9"/>
  <c r="L241" i="9"/>
  <c r="L245" i="9"/>
  <c r="L249" i="9"/>
  <c r="L11" i="9"/>
  <c r="L23" i="9"/>
  <c r="L31" i="9"/>
  <c r="L39" i="9"/>
  <c r="L43" i="9"/>
  <c r="L51" i="9"/>
  <c r="L59" i="9"/>
  <c r="L67" i="9"/>
  <c r="L75" i="9"/>
  <c r="L83" i="9"/>
  <c r="L91" i="9"/>
  <c r="L99" i="9"/>
  <c r="L107" i="9"/>
  <c r="L119" i="9"/>
  <c r="L127" i="9"/>
  <c r="L135" i="9"/>
  <c r="L143" i="9"/>
  <c r="L151" i="9"/>
  <c r="L159" i="9"/>
  <c r="L171" i="9"/>
  <c r="L179" i="9"/>
  <c r="L191" i="9"/>
  <c r="L203" i="9"/>
  <c r="L6" i="9"/>
  <c r="L10" i="9"/>
  <c r="L14" i="9"/>
  <c r="L18" i="9"/>
  <c r="L22" i="9"/>
  <c r="L26" i="9"/>
  <c r="L30" i="9"/>
  <c r="L34" i="9"/>
  <c r="L38" i="9"/>
  <c r="L42" i="9"/>
  <c r="L46" i="9"/>
  <c r="L50" i="9"/>
  <c r="L54" i="9"/>
  <c r="L58" i="9"/>
  <c r="L62" i="9"/>
  <c r="L66" i="9"/>
  <c r="L70" i="9"/>
  <c r="L74" i="9"/>
  <c r="L78" i="9"/>
  <c r="L82" i="9"/>
  <c r="L86" i="9"/>
  <c r="L90" i="9"/>
  <c r="L94" i="9"/>
  <c r="L98" i="9"/>
  <c r="L102" i="9"/>
  <c r="L106" i="9"/>
  <c r="L110" i="9"/>
  <c r="L114" i="9"/>
  <c r="L118" i="9"/>
  <c r="L122" i="9"/>
  <c r="L126" i="9"/>
  <c r="L130" i="9"/>
  <c r="L134" i="9"/>
  <c r="L138" i="9"/>
  <c r="L142" i="9"/>
  <c r="L146" i="9"/>
  <c r="L150" i="9"/>
  <c r="L154" i="9"/>
  <c r="L158" i="9"/>
  <c r="L162" i="9"/>
  <c r="L166" i="9"/>
  <c r="L170" i="9"/>
  <c r="L174" i="9"/>
  <c r="L178" i="9"/>
  <c r="L182" i="9"/>
  <c r="L186" i="9"/>
  <c r="L190" i="9"/>
  <c r="L194" i="9"/>
  <c r="L198" i="9"/>
  <c r="L202" i="9"/>
  <c r="L206" i="9"/>
  <c r="L210" i="9"/>
  <c r="L214" i="9"/>
  <c r="L218" i="9"/>
  <c r="L222" i="9"/>
  <c r="L226" i="9"/>
  <c r="L230" i="9"/>
  <c r="L234" i="9"/>
  <c r="L238" i="9"/>
  <c r="L242" i="9"/>
  <c r="L246" i="9"/>
  <c r="L250" i="9"/>
  <c r="L7" i="9"/>
  <c r="L19" i="9"/>
  <c r="O19" i="9" s="1"/>
  <c r="L27" i="9"/>
  <c r="L35" i="9"/>
  <c r="L47" i="9"/>
  <c r="O47" i="9" s="1"/>
  <c r="L55" i="9"/>
  <c r="L63" i="9"/>
  <c r="L71" i="9"/>
  <c r="L79" i="9"/>
  <c r="O79" i="9" s="1"/>
  <c r="L87" i="9"/>
  <c r="L95" i="9"/>
  <c r="L103" i="9"/>
  <c r="L111" i="9"/>
  <c r="O111" i="9" s="1"/>
  <c r="L115" i="9"/>
  <c r="O115" i="9" s="1"/>
  <c r="L123" i="9"/>
  <c r="L131" i="9"/>
  <c r="L139" i="9"/>
  <c r="L147" i="9"/>
  <c r="O147" i="9" s="1"/>
  <c r="L155" i="9"/>
  <c r="L167" i="9"/>
  <c r="L175" i="9"/>
  <c r="L183" i="9"/>
  <c r="L195" i="9"/>
  <c r="L207" i="9"/>
  <c r="L223" i="9"/>
  <c r="O223" i="9" s="1"/>
  <c r="L239" i="9"/>
  <c r="L235" i="9"/>
  <c r="L211" i="9"/>
  <c r="L227" i="9"/>
  <c r="L243" i="9"/>
  <c r="O243" i="9" s="1"/>
  <c r="L251" i="9"/>
  <c r="L215" i="9"/>
  <c r="L231" i="9"/>
  <c r="L247" i="9"/>
  <c r="L219" i="9"/>
  <c r="K10" i="7"/>
  <c r="J9" i="7"/>
  <c r="I8" i="7"/>
  <c r="D3" i="7"/>
  <c r="D251" i="6"/>
  <c r="D243" i="6"/>
  <c r="D235" i="6"/>
  <c r="D227" i="6"/>
  <c r="D219" i="6"/>
  <c r="D211" i="6"/>
  <c r="D199" i="6"/>
  <c r="D191" i="6"/>
  <c r="D187" i="6"/>
  <c r="D179" i="6"/>
  <c r="D171" i="6"/>
  <c r="D163" i="6"/>
  <c r="D155" i="6"/>
  <c r="D143" i="6"/>
  <c r="D135" i="6"/>
  <c r="D131" i="6"/>
  <c r="D123" i="6"/>
  <c r="D115" i="6"/>
  <c r="D111" i="6"/>
  <c r="D107" i="6"/>
  <c r="D103" i="6"/>
  <c r="D95" i="6"/>
  <c r="D91" i="6"/>
  <c r="D87" i="6"/>
  <c r="D83" i="6"/>
  <c r="D79" i="6"/>
  <c r="D75" i="6"/>
  <c r="D71" i="6"/>
  <c r="D67" i="6"/>
  <c r="D63" i="6"/>
  <c r="D59" i="6"/>
  <c r="D55" i="6"/>
  <c r="D51" i="6"/>
  <c r="D47" i="6"/>
  <c r="D43" i="6"/>
  <c r="D39" i="6"/>
  <c r="D35" i="6"/>
  <c r="D31" i="6"/>
  <c r="D27" i="6"/>
  <c r="D23" i="6"/>
  <c r="D19" i="6"/>
  <c r="D15" i="6"/>
  <c r="D11" i="6"/>
  <c r="D7" i="6"/>
  <c r="D247" i="6"/>
  <c r="D239" i="6"/>
  <c r="D231" i="6"/>
  <c r="D223" i="6"/>
  <c r="D215" i="6"/>
  <c r="D207" i="6"/>
  <c r="D203" i="6"/>
  <c r="D195" i="6"/>
  <c r="D183" i="6"/>
  <c r="D175" i="6"/>
  <c r="D167" i="6"/>
  <c r="D159" i="6"/>
  <c r="D151" i="6"/>
  <c r="D147" i="6"/>
  <c r="D139" i="6"/>
  <c r="D127" i="6"/>
  <c r="D119" i="6"/>
  <c r="D99" i="6"/>
  <c r="D250" i="6"/>
  <c r="D234" i="6"/>
  <c r="D226" i="6"/>
  <c r="D218" i="6"/>
  <c r="D210" i="6"/>
  <c r="D202" i="6"/>
  <c r="D194" i="6"/>
  <c r="D186" i="6"/>
  <c r="D178" i="6"/>
  <c r="D170" i="6"/>
  <c r="D162" i="6"/>
  <c r="D154" i="6"/>
  <c r="D146" i="6"/>
  <c r="D138" i="6"/>
  <c r="D130" i="6"/>
  <c r="D122" i="6"/>
  <c r="D114" i="6"/>
  <c r="D106" i="6"/>
  <c r="D98" i="6"/>
  <c r="D242" i="6"/>
  <c r="D246" i="6"/>
  <c r="D230" i="6"/>
  <c r="D214" i="6"/>
  <c r="D198" i="6"/>
  <c r="D182" i="6"/>
  <c r="D166" i="6"/>
  <c r="D150" i="6"/>
  <c r="D134" i="6"/>
  <c r="D118" i="6"/>
  <c r="D102" i="6"/>
  <c r="D90" i="6"/>
  <c r="D82" i="6"/>
  <c r="D74" i="6"/>
  <c r="D66" i="6"/>
  <c r="D58" i="6"/>
  <c r="D50" i="6"/>
  <c r="D42" i="6"/>
  <c r="D34" i="6"/>
  <c r="D26" i="6"/>
  <c r="D18" i="6"/>
  <c r="D10" i="6"/>
  <c r="D5" i="6"/>
  <c r="D245" i="6"/>
  <c r="D241" i="6"/>
  <c r="D237" i="6"/>
  <c r="D233" i="6"/>
  <c r="D229" i="6"/>
  <c r="D225" i="6"/>
  <c r="D221" i="6"/>
  <c r="D217" i="6"/>
  <c r="D213" i="6"/>
  <c r="D209" i="6"/>
  <c r="D205" i="6"/>
  <c r="D201" i="6"/>
  <c r="D197" i="6"/>
  <c r="D6" i="6"/>
  <c r="D238" i="6"/>
  <c r="D222" i="6"/>
  <c r="D206" i="6"/>
  <c r="D190" i="6"/>
  <c r="D174" i="6"/>
  <c r="D158" i="6"/>
  <c r="D142" i="6"/>
  <c r="D126" i="6"/>
  <c r="D110" i="6"/>
  <c r="D94" i="6"/>
  <c r="D86" i="6"/>
  <c r="D78" i="6"/>
  <c r="D70" i="6"/>
  <c r="D62" i="6"/>
  <c r="D54" i="6"/>
  <c r="D46" i="6"/>
  <c r="D38" i="6"/>
  <c r="D30" i="6"/>
  <c r="D22" i="6"/>
  <c r="D14" i="6"/>
  <c r="D249" i="6"/>
  <c r="D4" i="6"/>
  <c r="D248" i="6"/>
  <c r="D244" i="6"/>
  <c r="D193" i="6"/>
  <c r="D189" i="6"/>
  <c r="D185" i="6"/>
  <c r="D181" i="6"/>
  <c r="D177" i="6"/>
  <c r="D173" i="6"/>
  <c r="D169" i="6"/>
  <c r="D165" i="6"/>
  <c r="D161" i="6"/>
  <c r="D157" i="6"/>
  <c r="D153" i="6"/>
  <c r="D149" i="6"/>
  <c r="D145" i="6"/>
  <c r="D141" i="6"/>
  <c r="D137" i="6"/>
  <c r="D133" i="6"/>
  <c r="D129" i="6"/>
  <c r="D125" i="6"/>
  <c r="D121" i="6"/>
  <c r="D117" i="6"/>
  <c r="D113" i="6"/>
  <c r="D109" i="6"/>
  <c r="D105" i="6"/>
  <c r="D101" i="6"/>
  <c r="D97" i="6"/>
  <c r="D93" i="6"/>
  <c r="D89" i="6"/>
  <c r="D85" i="6"/>
  <c r="D81" i="6"/>
  <c r="D77" i="6"/>
  <c r="D73" i="6"/>
  <c r="D69" i="6"/>
  <c r="D65" i="6"/>
  <c r="D61" i="6"/>
  <c r="D57" i="6"/>
  <c r="D53" i="6"/>
  <c r="D49" i="6"/>
  <c r="D45" i="6"/>
  <c r="D41" i="6"/>
  <c r="D37" i="6"/>
  <c r="D33" i="6"/>
  <c r="D29" i="6"/>
  <c r="D25" i="6"/>
  <c r="D21" i="6"/>
  <c r="D17" i="6"/>
  <c r="D13" i="6"/>
  <c r="D9" i="6"/>
  <c r="D240" i="6"/>
  <c r="D236" i="6"/>
  <c r="D232" i="6"/>
  <c r="D228" i="6"/>
  <c r="D224" i="6"/>
  <c r="D220" i="6"/>
  <c r="D216" i="6"/>
  <c r="D212" i="6"/>
  <c r="D208" i="6"/>
  <c r="D204" i="6"/>
  <c r="D200" i="6"/>
  <c r="D196" i="6"/>
  <c r="D192" i="6"/>
  <c r="D188" i="6"/>
  <c r="D184" i="6"/>
  <c r="D180" i="6"/>
  <c r="D176" i="6"/>
  <c r="D172" i="6"/>
  <c r="D168" i="6"/>
  <c r="D164" i="6"/>
  <c r="D160" i="6"/>
  <c r="D156" i="6"/>
  <c r="D152" i="6"/>
  <c r="D148" i="6"/>
  <c r="D144" i="6"/>
  <c r="D140" i="6"/>
  <c r="D136" i="6"/>
  <c r="D132" i="6"/>
  <c r="D128" i="6"/>
  <c r="D124" i="6"/>
  <c r="D120" i="6"/>
  <c r="D116" i="6"/>
  <c r="D112" i="6"/>
  <c r="D108" i="6"/>
  <c r="D104" i="6"/>
  <c r="D100" i="6"/>
  <c r="D96" i="6"/>
  <c r="D92" i="6"/>
  <c r="D88" i="6"/>
  <c r="D84" i="6"/>
  <c r="D80" i="6"/>
  <c r="D76" i="6"/>
  <c r="D72" i="6"/>
  <c r="D68" i="6"/>
  <c r="D64" i="6"/>
  <c r="D60" i="6"/>
  <c r="D56" i="6"/>
  <c r="D52" i="6"/>
  <c r="D48" i="6"/>
  <c r="D44" i="6"/>
  <c r="D40" i="6"/>
  <c r="D36" i="6"/>
  <c r="D32" i="6"/>
  <c r="D28" i="6"/>
  <c r="D24" i="6"/>
  <c r="D20" i="6"/>
  <c r="D16" i="6"/>
  <c r="D12" i="6"/>
  <c r="D8" i="6"/>
  <c r="P147" i="9" l="1"/>
  <c r="O175" i="9"/>
  <c r="Q75" i="9"/>
  <c r="Q238" i="9"/>
  <c r="Q206" i="9"/>
  <c r="I1" i="13"/>
  <c r="J3" i="13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s="1"/>
  <c r="J114" i="13" s="1"/>
  <c r="J115" i="13" s="1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Q103" i="9"/>
  <c r="Q83" i="9"/>
  <c r="P250" i="9"/>
  <c r="P234" i="9"/>
  <c r="P218" i="9"/>
  <c r="P202" i="9"/>
  <c r="P186" i="9"/>
  <c r="P170" i="9"/>
  <c r="P154" i="9"/>
  <c r="P138" i="9"/>
  <c r="P122" i="9"/>
  <c r="P106" i="9"/>
  <c r="P90" i="9"/>
  <c r="P74" i="9"/>
  <c r="P58" i="9"/>
  <c r="P42" i="9"/>
  <c r="P26" i="9"/>
  <c r="P10" i="9"/>
  <c r="O246" i="9"/>
  <c r="O230" i="9"/>
  <c r="O214" i="9"/>
  <c r="O198" i="9"/>
  <c r="O182" i="9"/>
  <c r="O166" i="9"/>
  <c r="O150" i="9"/>
  <c r="O134" i="9"/>
  <c r="O118" i="9"/>
  <c r="O102" i="9"/>
  <c r="O86" i="9"/>
  <c r="O70" i="9"/>
  <c r="O54" i="9"/>
  <c r="O38" i="9"/>
  <c r="O22" i="9"/>
  <c r="O6" i="9"/>
  <c r="O195" i="9"/>
  <c r="Q174" i="9"/>
  <c r="Q142" i="9"/>
  <c r="P215" i="9"/>
  <c r="Q27" i="9"/>
  <c r="Q78" i="9"/>
  <c r="Q91" i="9"/>
  <c r="Q62" i="9"/>
  <c r="O211" i="9"/>
  <c r="O131" i="9"/>
  <c r="O35" i="9"/>
  <c r="O237" i="9"/>
  <c r="O221" i="9"/>
  <c r="O205" i="9"/>
  <c r="O189" i="9"/>
  <c r="O173" i="9"/>
  <c r="O157" i="9"/>
  <c r="O141" i="9"/>
  <c r="O125" i="9"/>
  <c r="O109" i="9"/>
  <c r="O93" i="9"/>
  <c r="O77" i="9"/>
  <c r="O61" i="9"/>
  <c r="O45" i="9"/>
  <c r="O29" i="9"/>
  <c r="O13" i="9"/>
  <c r="P231" i="9"/>
  <c r="P7" i="9"/>
  <c r="P241" i="9"/>
  <c r="P225" i="9"/>
  <c r="P209" i="9"/>
  <c r="P193" i="9"/>
  <c r="P177" i="9"/>
  <c r="P161" i="9"/>
  <c r="P145" i="9"/>
  <c r="P129" i="9"/>
  <c r="P113" i="9"/>
  <c r="P97" i="9"/>
  <c r="P81" i="9"/>
  <c r="P65" i="9"/>
  <c r="P49" i="9"/>
  <c r="P33" i="9"/>
  <c r="P17" i="9"/>
  <c r="Q43" i="9"/>
  <c r="Q14" i="9"/>
  <c r="Q245" i="9"/>
  <c r="Q229" i="9"/>
  <c r="Q213" i="9"/>
  <c r="Q197" i="9"/>
  <c r="Q181" i="9"/>
  <c r="Q165" i="9"/>
  <c r="Q149" i="9"/>
  <c r="Q46" i="9"/>
  <c r="Q30" i="9"/>
  <c r="Q82" i="9"/>
  <c r="Q66" i="9"/>
  <c r="Q50" i="9"/>
  <c r="Q34" i="9"/>
  <c r="Q133" i="9"/>
  <c r="Q117" i="9"/>
  <c r="Q101" i="9"/>
  <c r="Q85" i="9"/>
  <c r="P227" i="9"/>
  <c r="Q234" i="9"/>
  <c r="Q170" i="9"/>
  <c r="Q106" i="9"/>
  <c r="P237" i="9"/>
  <c r="P221" i="9"/>
  <c r="P205" i="9"/>
  <c r="P189" i="9"/>
  <c r="P173" i="9"/>
  <c r="P157" i="9"/>
  <c r="P141" i="9"/>
  <c r="P125" i="9"/>
  <c r="P109" i="9"/>
  <c r="P93" i="9"/>
  <c r="P77" i="9"/>
  <c r="P61" i="9"/>
  <c r="Q218" i="9"/>
  <c r="Q154" i="9"/>
  <c r="Q10" i="9"/>
  <c r="Q241" i="9"/>
  <c r="Q225" i="9"/>
  <c r="Q209" i="9"/>
  <c r="Q193" i="9"/>
  <c r="Q177" i="9"/>
  <c r="P38" i="9"/>
  <c r="P22" i="9"/>
  <c r="Q19" i="9"/>
  <c r="Q95" i="9"/>
  <c r="Q202" i="9"/>
  <c r="Q138" i="9"/>
  <c r="Q90" i="9"/>
  <c r="Q74" i="9"/>
  <c r="Q58" i="9"/>
  <c r="Q42" i="9"/>
  <c r="Q26" i="9"/>
  <c r="Q183" i="9"/>
  <c r="O179" i="9"/>
  <c r="Q151" i="9"/>
  <c r="Q119" i="9"/>
  <c r="Q69" i="9"/>
  <c r="Q53" i="9"/>
  <c r="Q37" i="9"/>
  <c r="Q21" i="9"/>
  <c r="O99" i="9"/>
  <c r="O67" i="9"/>
  <c r="Q161" i="9"/>
  <c r="Q145" i="9"/>
  <c r="Q129" i="9"/>
  <c r="Q113" i="9"/>
  <c r="Q97" i="9"/>
  <c r="Q81" i="9"/>
  <c r="Q65" i="9"/>
  <c r="P19" i="9"/>
  <c r="Q55" i="9"/>
  <c r="Q5" i="9"/>
  <c r="Q39" i="9"/>
  <c r="Q49" i="9"/>
  <c r="Q33" i="9"/>
  <c r="Q17" i="9"/>
  <c r="P119" i="9"/>
  <c r="P87" i="9"/>
  <c r="P55" i="9"/>
  <c r="O215" i="9"/>
  <c r="O167" i="9"/>
  <c r="O103" i="9"/>
  <c r="O71" i="9"/>
  <c r="O250" i="9"/>
  <c r="R250" i="9" s="1" a="1"/>
  <c r="R250" i="9" s="1"/>
  <c r="O234" i="9"/>
  <c r="O218" i="9"/>
  <c r="O202" i="9"/>
  <c r="O186" i="9"/>
  <c r="R186" i="9" s="1" a="1"/>
  <c r="R186" i="9" s="1"/>
  <c r="O170" i="9"/>
  <c r="O154" i="9"/>
  <c r="O138" i="9"/>
  <c r="O122" i="9"/>
  <c r="R122" i="9" s="1" a="1"/>
  <c r="R122" i="9" s="1"/>
  <c r="O106" i="9"/>
  <c r="R106" i="9" s="1" a="1"/>
  <c r="R106" i="9" s="1"/>
  <c r="O90" i="9"/>
  <c r="O74" i="9"/>
  <c r="O58" i="9"/>
  <c r="O42" i="9"/>
  <c r="O26" i="9"/>
  <c r="O10" i="9"/>
  <c r="P139" i="9"/>
  <c r="P107" i="9"/>
  <c r="P75" i="9"/>
  <c r="P43" i="9"/>
  <c r="P238" i="9"/>
  <c r="P222" i="9"/>
  <c r="P206" i="9"/>
  <c r="P190" i="9"/>
  <c r="P174" i="9"/>
  <c r="P158" i="9"/>
  <c r="P142" i="9"/>
  <c r="P126" i="9"/>
  <c r="P110" i="9"/>
  <c r="P94" i="9"/>
  <c r="P78" i="9"/>
  <c r="P62" i="9"/>
  <c r="P46" i="9"/>
  <c r="P30" i="9"/>
  <c r="P14" i="9"/>
  <c r="Q162" i="9"/>
  <c r="Q63" i="9"/>
  <c r="Q226" i="9"/>
  <c r="O4" i="9"/>
  <c r="Q231" i="9"/>
  <c r="Q99" i="9"/>
  <c r="O84" i="9"/>
  <c r="Q59" i="9"/>
  <c r="P45" i="9"/>
  <c r="P29" i="9"/>
  <c r="P13" i="9"/>
  <c r="Q215" i="9"/>
  <c r="P6" i="9"/>
  <c r="Q7" i="9"/>
  <c r="O164" i="9"/>
  <c r="O207" i="9"/>
  <c r="O143" i="9"/>
  <c r="Q191" i="9"/>
  <c r="Q127" i="9"/>
  <c r="O63" i="9"/>
  <c r="O249" i="9"/>
  <c r="O233" i="9"/>
  <c r="O217" i="9"/>
  <c r="O201" i="9"/>
  <c r="O185" i="9"/>
  <c r="O169" i="9"/>
  <c r="O153" i="9"/>
  <c r="O137" i="9"/>
  <c r="O121" i="9"/>
  <c r="O105" i="9"/>
  <c r="O89" i="9"/>
  <c r="O73" i="9"/>
  <c r="O57" i="9"/>
  <c r="O41" i="9"/>
  <c r="O25" i="9"/>
  <c r="O9" i="9"/>
  <c r="P211" i="9"/>
  <c r="P163" i="9"/>
  <c r="P131" i="9"/>
  <c r="P99" i="9"/>
  <c r="P67" i="9"/>
  <c r="P35" i="9"/>
  <c r="O95" i="9"/>
  <c r="O239" i="9"/>
  <c r="O242" i="9"/>
  <c r="O226" i="9"/>
  <c r="O210" i="9"/>
  <c r="O194" i="9"/>
  <c r="O178" i="9"/>
  <c r="O162" i="9"/>
  <c r="O146" i="9"/>
  <c r="O130" i="9"/>
  <c r="O114" i="9"/>
  <c r="O98" i="9"/>
  <c r="O82" i="9"/>
  <c r="O66" i="9"/>
  <c r="O50" i="9"/>
  <c r="O34" i="9"/>
  <c r="O18" i="9"/>
  <c r="P195" i="9"/>
  <c r="P246" i="9"/>
  <c r="P230" i="9"/>
  <c r="P214" i="9"/>
  <c r="P198" i="9"/>
  <c r="P182" i="9"/>
  <c r="P166" i="9"/>
  <c r="P150" i="9"/>
  <c r="P134" i="9"/>
  <c r="P118" i="9"/>
  <c r="P102" i="9"/>
  <c r="P86" i="9"/>
  <c r="P70" i="9"/>
  <c r="P54" i="9"/>
  <c r="Q159" i="9"/>
  <c r="Q4" i="9"/>
  <c r="O228" i="9"/>
  <c r="O52" i="9"/>
  <c r="P151" i="9"/>
  <c r="P200" i="9"/>
  <c r="P24" i="9"/>
  <c r="Q223" i="9"/>
  <c r="R223" i="9" s="1" a="1"/>
  <c r="R223" i="9" s="1"/>
  <c r="Q243" i="9"/>
  <c r="R243" i="9" s="1" a="1"/>
  <c r="R243" i="9" s="1"/>
  <c r="P4" i="9"/>
  <c r="O244" i="9"/>
  <c r="O196" i="9"/>
  <c r="O148" i="9"/>
  <c r="O116" i="9"/>
  <c r="O100" i="9"/>
  <c r="O68" i="9"/>
  <c r="O20" i="9"/>
  <c r="P187" i="9"/>
  <c r="P248" i="9"/>
  <c r="P216" i="9"/>
  <c r="P184" i="9"/>
  <c r="P168" i="9"/>
  <c r="P136" i="9"/>
  <c r="P104" i="9"/>
  <c r="P72" i="9"/>
  <c r="P40" i="9"/>
  <c r="Q211" i="9"/>
  <c r="Q179" i="9"/>
  <c r="Q147" i="9"/>
  <c r="R147" i="9" s="1" a="1"/>
  <c r="R147" i="9" s="1"/>
  <c r="Q115" i="9"/>
  <c r="R115" i="9" s="1" a="1"/>
  <c r="R115" i="9" s="1"/>
  <c r="Q236" i="9"/>
  <c r="Q220" i="9"/>
  <c r="Q204" i="9"/>
  <c r="Q188" i="9"/>
  <c r="Q172" i="9"/>
  <c r="Q156" i="9"/>
  <c r="Q140" i="9"/>
  <c r="Q124" i="9"/>
  <c r="Q92" i="9"/>
  <c r="Q76" i="9"/>
  <c r="Q60" i="9"/>
  <c r="Q28" i="9"/>
  <c r="Q12" i="9"/>
  <c r="Q194" i="9"/>
  <c r="Q130" i="9"/>
  <c r="Q199" i="9"/>
  <c r="Q167" i="9"/>
  <c r="Q135" i="9"/>
  <c r="Q11" i="9"/>
  <c r="Q31" i="9"/>
  <c r="Q178" i="9"/>
  <c r="Q114" i="9"/>
  <c r="Q79" i="9"/>
  <c r="Q242" i="9"/>
  <c r="Q18" i="9"/>
  <c r="Q249" i="9"/>
  <c r="Q233" i="9"/>
  <c r="Q217" i="9"/>
  <c r="Q201" i="9"/>
  <c r="Q185" i="9"/>
  <c r="Q169" i="9"/>
  <c r="Q153" i="9"/>
  <c r="Q137" i="9"/>
  <c r="Q121" i="9"/>
  <c r="Q105" i="9"/>
  <c r="Q89" i="9"/>
  <c r="Q73" i="9"/>
  <c r="Q57" i="9"/>
  <c r="Q41" i="9"/>
  <c r="Q25" i="9"/>
  <c r="Q9" i="9"/>
  <c r="Q22" i="9"/>
  <c r="Q44" i="9"/>
  <c r="Q51" i="9"/>
  <c r="Q175" i="9"/>
  <c r="R175" i="9" s="1" a="1"/>
  <c r="R175" i="9" s="1"/>
  <c r="Q143" i="9"/>
  <c r="Q230" i="9"/>
  <c r="Q198" i="9"/>
  <c r="Q166" i="9"/>
  <c r="Q134" i="9"/>
  <c r="Q67" i="9"/>
  <c r="Q207" i="9"/>
  <c r="Q235" i="9"/>
  <c r="Q203" i="9"/>
  <c r="Q171" i="9"/>
  <c r="Q139" i="9"/>
  <c r="Q110" i="9"/>
  <c r="Q248" i="9"/>
  <c r="Q232" i="9"/>
  <c r="Q216" i="9"/>
  <c r="Q200" i="9"/>
  <c r="Q184" i="9"/>
  <c r="Q168" i="9"/>
  <c r="Q152" i="9"/>
  <c r="Q136" i="9"/>
  <c r="Q120" i="9"/>
  <c r="Q104" i="9"/>
  <c r="Q88" i="9"/>
  <c r="Q72" i="9"/>
  <c r="Q56" i="9"/>
  <c r="Q40" i="9"/>
  <c r="Q24" i="9"/>
  <c r="Q8" i="9"/>
  <c r="Q108" i="9"/>
  <c r="Q15" i="9"/>
  <c r="Q35" i="9"/>
  <c r="Q227" i="9"/>
  <c r="Q195" i="9"/>
  <c r="Q163" i="9"/>
  <c r="Q131" i="9"/>
  <c r="Q87" i="9"/>
  <c r="Q23" i="9"/>
  <c r="Q6" i="9"/>
  <c r="Q237" i="9"/>
  <c r="Q221" i="9"/>
  <c r="Q205" i="9"/>
  <c r="Q189" i="9"/>
  <c r="Q173" i="9"/>
  <c r="Q157" i="9"/>
  <c r="Q141" i="9"/>
  <c r="Q125" i="9"/>
  <c r="Q109" i="9"/>
  <c r="Q93" i="9"/>
  <c r="Q77" i="9"/>
  <c r="Q61" i="9"/>
  <c r="Q45" i="9"/>
  <c r="Q29" i="9"/>
  <c r="Q13" i="9"/>
  <c r="Q102" i="9"/>
  <c r="Q244" i="9"/>
  <c r="Q228" i="9"/>
  <c r="Q212" i="9"/>
  <c r="Q196" i="9"/>
  <c r="Q180" i="9"/>
  <c r="Q164" i="9"/>
  <c r="Q148" i="9"/>
  <c r="Q132" i="9"/>
  <c r="Q116" i="9"/>
  <c r="Q100" i="9"/>
  <c r="Q84" i="9"/>
  <c r="Q68" i="9"/>
  <c r="Q52" i="9"/>
  <c r="Q36" i="9"/>
  <c r="Q20" i="9"/>
  <c r="Q239" i="9"/>
  <c r="Q246" i="9"/>
  <c r="Q214" i="9"/>
  <c r="Q182" i="9"/>
  <c r="Q150" i="9"/>
  <c r="Q118" i="9"/>
  <c r="Q247" i="9"/>
  <c r="Q251" i="9"/>
  <c r="Q219" i="9"/>
  <c r="Q187" i="9"/>
  <c r="Q155" i="9"/>
  <c r="Q123" i="9"/>
  <c r="Q86" i="9"/>
  <c r="Q70" i="9"/>
  <c r="Q54" i="9"/>
  <c r="Q38" i="9"/>
  <c r="Q94" i="9"/>
  <c r="Q240" i="9"/>
  <c r="Q224" i="9"/>
  <c r="Q208" i="9"/>
  <c r="Q192" i="9"/>
  <c r="Q176" i="9"/>
  <c r="Q160" i="9"/>
  <c r="Q144" i="9"/>
  <c r="Q128" i="9"/>
  <c r="Q112" i="9"/>
  <c r="Q96" i="9"/>
  <c r="Q80" i="9"/>
  <c r="Q64" i="9"/>
  <c r="Q48" i="9"/>
  <c r="Q32" i="9"/>
  <c r="Q16" i="9"/>
  <c r="P183" i="9"/>
  <c r="O87" i="9"/>
  <c r="O55" i="9"/>
  <c r="O107" i="9"/>
  <c r="O43" i="9"/>
  <c r="O251" i="9"/>
  <c r="O123" i="9"/>
  <c r="O171" i="9"/>
  <c r="O135" i="9"/>
  <c r="O39" i="9"/>
  <c r="O163" i="9"/>
  <c r="O240" i="9"/>
  <c r="O224" i="9"/>
  <c r="O208" i="9"/>
  <c r="O192" i="9"/>
  <c r="O176" i="9"/>
  <c r="O160" i="9"/>
  <c r="O144" i="9"/>
  <c r="O128" i="9"/>
  <c r="O112" i="9"/>
  <c r="O96" i="9"/>
  <c r="O80" i="9"/>
  <c r="O64" i="9"/>
  <c r="O48" i="9"/>
  <c r="O32" i="9"/>
  <c r="O16" i="9"/>
  <c r="O75" i="9"/>
  <c r="O187" i="9"/>
  <c r="O212" i="9"/>
  <c r="O36" i="9"/>
  <c r="O183" i="9"/>
  <c r="O203" i="9"/>
  <c r="R203" i="9" s="1" a="1"/>
  <c r="R203" i="9" s="1"/>
  <c r="O159" i="9"/>
  <c r="O127" i="9"/>
  <c r="O91" i="9"/>
  <c r="O59" i="9"/>
  <c r="O31" i="9"/>
  <c r="O245" i="9"/>
  <c r="O229" i="9"/>
  <c r="O213" i="9"/>
  <c r="O197" i="9"/>
  <c r="O181" i="9"/>
  <c r="O165" i="9"/>
  <c r="O149" i="9"/>
  <c r="O133" i="9"/>
  <c r="O117" i="9"/>
  <c r="O101" i="9"/>
  <c r="O85" i="9"/>
  <c r="O69" i="9"/>
  <c r="O53" i="9"/>
  <c r="O37" i="9"/>
  <c r="O21" i="9"/>
  <c r="O5" i="9"/>
  <c r="O15" i="9"/>
  <c r="O236" i="9"/>
  <c r="O220" i="9"/>
  <c r="O204" i="9"/>
  <c r="O188" i="9"/>
  <c r="O172" i="9"/>
  <c r="O156" i="9"/>
  <c r="O140" i="9"/>
  <c r="O124" i="9"/>
  <c r="O108" i="9"/>
  <c r="O92" i="9"/>
  <c r="O76" i="9"/>
  <c r="O60" i="9"/>
  <c r="O44" i="9"/>
  <c r="O28" i="9"/>
  <c r="O12" i="9"/>
  <c r="O11" i="9"/>
  <c r="O180" i="9"/>
  <c r="O132" i="9"/>
  <c r="O219" i="9"/>
  <c r="O235" i="9"/>
  <c r="O155" i="9"/>
  <c r="O27" i="9"/>
  <c r="O247" i="9"/>
  <c r="O231" i="9"/>
  <c r="O227" i="9"/>
  <c r="R227" i="9" s="1" a="1"/>
  <c r="R227" i="9" s="1"/>
  <c r="O139" i="9"/>
  <c r="O7" i="9"/>
  <c r="O238" i="9"/>
  <c r="O222" i="9"/>
  <c r="O206" i="9"/>
  <c r="O190" i="9"/>
  <c r="O174" i="9"/>
  <c r="O158" i="9"/>
  <c r="O142" i="9"/>
  <c r="O126" i="9"/>
  <c r="O110" i="9"/>
  <c r="O94" i="9"/>
  <c r="O78" i="9"/>
  <c r="O62" i="9"/>
  <c r="O46" i="9"/>
  <c r="O30" i="9"/>
  <c r="O14" i="9"/>
  <c r="O191" i="9"/>
  <c r="O151" i="9"/>
  <c r="O119" i="9"/>
  <c r="O83" i="9"/>
  <c r="R83" i="9" s="1" a="1"/>
  <c r="R83" i="9" s="1"/>
  <c r="O51" i="9"/>
  <c r="O23" i="9"/>
  <c r="O241" i="9"/>
  <c r="O225" i="9"/>
  <c r="O209" i="9"/>
  <c r="O193" i="9"/>
  <c r="O177" i="9"/>
  <c r="O161" i="9"/>
  <c r="O145" i="9"/>
  <c r="O129" i="9"/>
  <c r="O113" i="9"/>
  <c r="O97" i="9"/>
  <c r="O81" i="9"/>
  <c r="O65" i="9"/>
  <c r="O49" i="9"/>
  <c r="O33" i="9"/>
  <c r="O17" i="9"/>
  <c r="O199" i="9"/>
  <c r="O248" i="9"/>
  <c r="O232" i="9"/>
  <c r="O216" i="9"/>
  <c r="O200" i="9"/>
  <c r="O184" i="9"/>
  <c r="O168" i="9"/>
  <c r="O152" i="9"/>
  <c r="O136" i="9"/>
  <c r="O120" i="9"/>
  <c r="O104" i="9"/>
  <c r="O88" i="9"/>
  <c r="O72" i="9"/>
  <c r="O56" i="9"/>
  <c r="O40" i="9"/>
  <c r="O24" i="9"/>
  <c r="O8" i="9"/>
  <c r="P247" i="9"/>
  <c r="P179" i="9"/>
  <c r="P244" i="9"/>
  <c r="P196" i="9"/>
  <c r="P148" i="9"/>
  <c r="P116" i="9"/>
  <c r="P84" i="9"/>
  <c r="P52" i="9"/>
  <c r="P207" i="9"/>
  <c r="P232" i="9"/>
  <c r="P120" i="9"/>
  <c r="P56" i="9"/>
  <c r="P143" i="9"/>
  <c r="P79" i="9"/>
  <c r="P11" i="9"/>
  <c r="P212" i="9"/>
  <c r="P180" i="9"/>
  <c r="P164" i="9"/>
  <c r="P132" i="9"/>
  <c r="P100" i="9"/>
  <c r="P68" i="9"/>
  <c r="P36" i="9"/>
  <c r="P251" i="9"/>
  <c r="P235" i="9"/>
  <c r="P219" i="9"/>
  <c r="P155" i="9"/>
  <c r="P123" i="9"/>
  <c r="P91" i="9"/>
  <c r="P59" i="9"/>
  <c r="P27" i="9"/>
  <c r="P167" i="9"/>
  <c r="P135" i="9"/>
  <c r="P103" i="9"/>
  <c r="R103" i="9" s="1" a="1"/>
  <c r="R103" i="9" s="1"/>
  <c r="P71" i="9"/>
  <c r="P39" i="9"/>
  <c r="P249" i="9"/>
  <c r="P233" i="9"/>
  <c r="P217" i="9"/>
  <c r="P201" i="9"/>
  <c r="P185" i="9"/>
  <c r="P169" i="9"/>
  <c r="P153" i="9"/>
  <c r="P137" i="9"/>
  <c r="P121" i="9"/>
  <c r="P105" i="9"/>
  <c r="P89" i="9"/>
  <c r="P73" i="9"/>
  <c r="P57" i="9"/>
  <c r="P41" i="9"/>
  <c r="P25" i="9"/>
  <c r="P9" i="9"/>
  <c r="P171" i="9"/>
  <c r="P240" i="9"/>
  <c r="P224" i="9"/>
  <c r="P208" i="9"/>
  <c r="P192" i="9"/>
  <c r="P176" i="9"/>
  <c r="P160" i="9"/>
  <c r="P144" i="9"/>
  <c r="P128" i="9"/>
  <c r="P112" i="9"/>
  <c r="P96" i="9"/>
  <c r="P80" i="9"/>
  <c r="P64" i="9"/>
  <c r="P48" i="9"/>
  <c r="P32" i="9"/>
  <c r="P16" i="9"/>
  <c r="P152" i="9"/>
  <c r="P88" i="9"/>
  <c r="P8" i="9"/>
  <c r="P111" i="9"/>
  <c r="R111" i="9" s="1" a="1"/>
  <c r="R111" i="9" s="1"/>
  <c r="P47" i="9"/>
  <c r="R47" i="9" s="1" a="1"/>
  <c r="R47" i="9" s="1"/>
  <c r="P191" i="9"/>
  <c r="P228" i="9"/>
  <c r="P20" i="9"/>
  <c r="P239" i="9"/>
  <c r="P15" i="9"/>
  <c r="P242" i="9"/>
  <c r="P226" i="9"/>
  <c r="P210" i="9"/>
  <c r="P194" i="9"/>
  <c r="P178" i="9"/>
  <c r="P162" i="9"/>
  <c r="P146" i="9"/>
  <c r="P130" i="9"/>
  <c r="P114" i="9"/>
  <c r="P98" i="9"/>
  <c r="P82" i="9"/>
  <c r="P66" i="9"/>
  <c r="P50" i="9"/>
  <c r="P34" i="9"/>
  <c r="P18" i="9"/>
  <c r="P199" i="9"/>
  <c r="P159" i="9"/>
  <c r="P127" i="9"/>
  <c r="P95" i="9"/>
  <c r="P63" i="9"/>
  <c r="P31" i="9"/>
  <c r="P245" i="9"/>
  <c r="P229" i="9"/>
  <c r="P213" i="9"/>
  <c r="P197" i="9"/>
  <c r="P181" i="9"/>
  <c r="P165" i="9"/>
  <c r="P149" i="9"/>
  <c r="P133" i="9"/>
  <c r="P117" i="9"/>
  <c r="P101" i="9"/>
  <c r="P85" i="9"/>
  <c r="P69" i="9"/>
  <c r="P53" i="9"/>
  <c r="P37" i="9"/>
  <c r="P21" i="9"/>
  <c r="P5" i="9"/>
  <c r="P23" i="9"/>
  <c r="P236" i="9"/>
  <c r="P220" i="9"/>
  <c r="P204" i="9"/>
  <c r="P188" i="9"/>
  <c r="P172" i="9"/>
  <c r="P156" i="9"/>
  <c r="P140" i="9"/>
  <c r="P124" i="9"/>
  <c r="P108" i="9"/>
  <c r="P92" i="9"/>
  <c r="P76" i="9"/>
  <c r="P60" i="9"/>
  <c r="P44" i="9"/>
  <c r="P28" i="9"/>
  <c r="P12" i="9"/>
  <c r="I12" i="7" a="1"/>
  <c r="I12" i="7" s="1"/>
  <c r="I16" i="7" s="1"/>
  <c r="I5" i="7"/>
  <c r="I15" i="7" s="1"/>
  <c r="I14" i="6"/>
  <c r="I16" i="6" s="1"/>
  <c r="K8" i="8" s="1"/>
  <c r="J14" i="6"/>
  <c r="J16" i="6" s="1"/>
  <c r="L8" i="8" s="1"/>
  <c r="E3" i="6" a="1"/>
  <c r="E3" i="6" s="1"/>
  <c r="R22" i="9" l="1" a="1"/>
  <c r="R22" i="9" s="1"/>
  <c r="R138" i="9" a="1"/>
  <c r="R138" i="9" s="1"/>
  <c r="R218" i="9" a="1"/>
  <c r="R218" i="9" s="1"/>
  <c r="R49" i="9" a="1"/>
  <c r="R49" i="9" s="1"/>
  <c r="R113" i="9" a="1"/>
  <c r="R113" i="9" s="1"/>
  <c r="R17" i="9" a="1"/>
  <c r="R17" i="9" s="1"/>
  <c r="R81" i="9" a="1"/>
  <c r="R81" i="9" s="1"/>
  <c r="R145" i="9" a="1"/>
  <c r="R145" i="9" s="1"/>
  <c r="R33" i="9" a="1"/>
  <c r="R33" i="9" s="1"/>
  <c r="R97" i="9" a="1"/>
  <c r="R97" i="9" s="1"/>
  <c r="R161" i="9" a="1"/>
  <c r="R161" i="9" s="1"/>
  <c r="R179" i="9" a="1"/>
  <c r="R179" i="9" s="1"/>
  <c r="R225" i="9" a="1"/>
  <c r="R225" i="9" s="1"/>
  <c r="R38" i="9" a="1"/>
  <c r="R38" i="9" s="1"/>
  <c r="R109" i="9" a="1"/>
  <c r="R109" i="9" s="1"/>
  <c r="R173" i="9" a="1"/>
  <c r="R173" i="9" s="1"/>
  <c r="R237" i="9" a="1"/>
  <c r="R237" i="9" s="1"/>
  <c r="R202" i="9" a="1"/>
  <c r="R202" i="9" s="1"/>
  <c r="R170" i="9" a="1"/>
  <c r="R170" i="9" s="1"/>
  <c r="G122" i="8"/>
  <c r="G186" i="8"/>
  <c r="G250" i="8"/>
  <c r="G249" i="8"/>
  <c r="G185" i="8"/>
  <c r="G121" i="8"/>
  <c r="G209" i="8"/>
  <c r="G157" i="8"/>
  <c r="G109" i="8"/>
  <c r="G77" i="8"/>
  <c r="G29" i="8"/>
  <c r="G137" i="8"/>
  <c r="G243" i="8"/>
  <c r="G219" i="8"/>
  <c r="G175" i="8"/>
  <c r="G75" i="8"/>
  <c r="G23" i="8"/>
  <c r="G238" i="8"/>
  <c r="G226" i="8"/>
  <c r="G198" i="8"/>
  <c r="G190" i="8"/>
  <c r="G162" i="8"/>
  <c r="G134" i="8"/>
  <c r="G126" i="8"/>
  <c r="G98" i="8"/>
  <c r="G90" i="8"/>
  <c r="G74" i="8"/>
  <c r="G58" i="8"/>
  <c r="G42" i="8"/>
  <c r="G26" i="8"/>
  <c r="G10" i="8"/>
  <c r="G85" i="8"/>
  <c r="G53" i="8"/>
  <c r="G21" i="8"/>
  <c r="G106" i="8"/>
  <c r="G171" i="8"/>
  <c r="G143" i="8"/>
  <c r="G95" i="8"/>
  <c r="G67" i="8"/>
  <c r="G43" i="8"/>
  <c r="G89" i="8"/>
  <c r="G25" i="8"/>
  <c r="G251" i="8"/>
  <c r="G227" i="8"/>
  <c r="G203" i="8"/>
  <c r="G179" i="8"/>
  <c r="G155" i="8"/>
  <c r="G139" i="8"/>
  <c r="G115" i="8"/>
  <c r="G79" i="8"/>
  <c r="G63" i="8"/>
  <c r="G241" i="8"/>
  <c r="G177" i="8"/>
  <c r="G129" i="8"/>
  <c r="G81" i="8"/>
  <c r="G49" i="8"/>
  <c r="G201" i="8"/>
  <c r="G105" i="8"/>
  <c r="G197" i="8"/>
  <c r="G133" i="8"/>
  <c r="G225" i="8"/>
  <c r="G193" i="8"/>
  <c r="G145" i="8"/>
  <c r="G97" i="8"/>
  <c r="G234" i="8"/>
  <c r="G78" i="8"/>
  <c r="G54" i="8"/>
  <c r="G30" i="8"/>
  <c r="G213" i="8"/>
  <c r="G149" i="8"/>
  <c r="G199" i="8"/>
  <c r="G151" i="8"/>
  <c r="G111" i="8"/>
  <c r="G35" i="8"/>
  <c r="G9" i="8"/>
  <c r="G214" i="8"/>
  <c r="G206" i="8"/>
  <c r="G178" i="8"/>
  <c r="G150" i="8"/>
  <c r="G142" i="8"/>
  <c r="G114" i="8"/>
  <c r="G223" i="8"/>
  <c r="G195" i="8"/>
  <c r="G119" i="8"/>
  <c r="G31" i="8"/>
  <c r="G218" i="8"/>
  <c r="G39" i="8"/>
  <c r="G242" i="8"/>
  <c r="G244" i="8"/>
  <c r="G236" i="8"/>
  <c r="G228" i="8"/>
  <c r="G220" i="8"/>
  <c r="G212" i="8"/>
  <c r="G204" i="8"/>
  <c r="G196" i="8"/>
  <c r="G188" i="8"/>
  <c r="G180" i="8"/>
  <c r="G172" i="8"/>
  <c r="G164" i="8"/>
  <c r="G156" i="8"/>
  <c r="G148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G36" i="8"/>
  <c r="G28" i="8"/>
  <c r="G20" i="8"/>
  <c r="G4" i="8"/>
  <c r="G91" i="8"/>
  <c r="G217" i="8"/>
  <c r="G153" i="8"/>
  <c r="G237" i="8"/>
  <c r="G189" i="8"/>
  <c r="G141" i="8"/>
  <c r="G93" i="8"/>
  <c r="G45" i="8"/>
  <c r="G207" i="8"/>
  <c r="G187" i="8"/>
  <c r="G163" i="8"/>
  <c r="G131" i="8"/>
  <c r="G87" i="8"/>
  <c r="G59" i="8"/>
  <c r="G246" i="8"/>
  <c r="G230" i="8"/>
  <c r="G222" i="8"/>
  <c r="G194" i="8"/>
  <c r="G166" i="8"/>
  <c r="G158" i="8"/>
  <c r="G130" i="8"/>
  <c r="G102" i="8"/>
  <c r="G94" i="8"/>
  <c r="G82" i="8"/>
  <c r="G66" i="8"/>
  <c r="G50" i="8"/>
  <c r="G34" i="8"/>
  <c r="G18" i="8"/>
  <c r="G6" i="8"/>
  <c r="G69" i="8"/>
  <c r="G37" i="8"/>
  <c r="G5" i="8"/>
  <c r="G247" i="8"/>
  <c r="G159" i="8"/>
  <c r="G107" i="8"/>
  <c r="G83" i="8"/>
  <c r="G55" i="8"/>
  <c r="G7" i="8"/>
  <c r="G41" i="8"/>
  <c r="G70" i="8"/>
  <c r="G154" i="8"/>
  <c r="G239" i="8"/>
  <c r="G191" i="8"/>
  <c r="G147" i="8"/>
  <c r="G127" i="8"/>
  <c r="G51" i="8"/>
  <c r="G202" i="8"/>
  <c r="G205" i="8"/>
  <c r="G161" i="8"/>
  <c r="G113" i="8"/>
  <c r="G65" i="8"/>
  <c r="G33" i="8"/>
  <c r="G233" i="8"/>
  <c r="G169" i="8"/>
  <c r="G229" i="8"/>
  <c r="G165" i="8"/>
  <c r="G101" i="8"/>
  <c r="G221" i="8"/>
  <c r="G173" i="8"/>
  <c r="G125" i="8"/>
  <c r="G61" i="8"/>
  <c r="G86" i="8"/>
  <c r="G62" i="8"/>
  <c r="G46" i="8"/>
  <c r="G22" i="8"/>
  <c r="G245" i="8"/>
  <c r="G181" i="8"/>
  <c r="G117" i="8"/>
  <c r="G231" i="8"/>
  <c r="G123" i="8"/>
  <c r="G99" i="8"/>
  <c r="G47" i="8"/>
  <c r="G57" i="8"/>
  <c r="G38" i="8"/>
  <c r="G210" i="8"/>
  <c r="G182" i="8"/>
  <c r="G174" i="8"/>
  <c r="G146" i="8"/>
  <c r="G118" i="8"/>
  <c r="G110" i="8"/>
  <c r="G170" i="8"/>
  <c r="G235" i="8"/>
  <c r="G211" i="8"/>
  <c r="G183" i="8"/>
  <c r="G135" i="8"/>
  <c r="G19" i="8"/>
  <c r="G11" i="8"/>
  <c r="G215" i="8"/>
  <c r="G167" i="8"/>
  <c r="G27" i="8"/>
  <c r="G232" i="8"/>
  <c r="G200" i="8"/>
  <c r="G168" i="8"/>
  <c r="G136" i="8"/>
  <c r="G104" i="8"/>
  <c r="G72" i="8"/>
  <c r="G40" i="8"/>
  <c r="G103" i="8"/>
  <c r="G73" i="8"/>
  <c r="G224" i="8"/>
  <c r="G192" i="8"/>
  <c r="G160" i="8"/>
  <c r="G128" i="8"/>
  <c r="G96" i="8"/>
  <c r="G64" i="8"/>
  <c r="G32" i="8"/>
  <c r="G138" i="8"/>
  <c r="G71" i="8"/>
  <c r="G248" i="8"/>
  <c r="G216" i="8"/>
  <c r="G184" i="8"/>
  <c r="G152" i="8"/>
  <c r="G120" i="8"/>
  <c r="G88" i="8"/>
  <c r="G56" i="8"/>
  <c r="G24" i="8"/>
  <c r="G240" i="8"/>
  <c r="G208" i="8"/>
  <c r="G176" i="8"/>
  <c r="G144" i="8"/>
  <c r="G112" i="8"/>
  <c r="G80" i="8"/>
  <c r="G48" i="8"/>
  <c r="R4" i="9" a="1"/>
  <c r="R4" i="9" s="1"/>
  <c r="R14" i="9" a="1"/>
  <c r="R14" i="9" s="1"/>
  <c r="R78" i="9" a="1"/>
  <c r="R78" i="9" s="1"/>
  <c r="R142" i="9" a="1"/>
  <c r="R142" i="9" s="1"/>
  <c r="R206" i="9" a="1"/>
  <c r="R206" i="9" s="1"/>
  <c r="R77" i="9" a="1"/>
  <c r="R77" i="9" s="1"/>
  <c r="R141" i="9" a="1"/>
  <c r="R141" i="9" s="1"/>
  <c r="R205" i="9" a="1"/>
  <c r="R205" i="9" s="1"/>
  <c r="R42" i="9" a="1"/>
  <c r="R42" i="9" s="1"/>
  <c r="R234" i="9" a="1"/>
  <c r="R234" i="9" s="1"/>
  <c r="R209" i="9" a="1"/>
  <c r="R209" i="9" s="1"/>
  <c r="R61" i="9" a="1"/>
  <c r="R61" i="9" s="1"/>
  <c r="R125" i="9" a="1"/>
  <c r="R125" i="9" s="1"/>
  <c r="R189" i="9" a="1"/>
  <c r="R189" i="9" s="1"/>
  <c r="R58" i="9" a="1"/>
  <c r="R58" i="9" s="1"/>
  <c r="R19" i="9" a="1"/>
  <c r="R19" i="9" s="1"/>
  <c r="R55" i="9" a="1"/>
  <c r="R55" i="9" s="1"/>
  <c r="R93" i="9" a="1"/>
  <c r="R93" i="9" s="1"/>
  <c r="R157" i="9" a="1"/>
  <c r="R157" i="9" s="1"/>
  <c r="R221" i="9" a="1"/>
  <c r="R221" i="9" s="1"/>
  <c r="R154" i="9" a="1"/>
  <c r="R154" i="9" s="1"/>
  <c r="R10" i="9" a="1"/>
  <c r="R10" i="9" s="1"/>
  <c r="R193" i="9" a="1"/>
  <c r="R193" i="9" s="1"/>
  <c r="R26" i="9" a="1"/>
  <c r="R26" i="9" s="1"/>
  <c r="R90" i="9" a="1"/>
  <c r="R90" i="9" s="1"/>
  <c r="R177" i="9" a="1"/>
  <c r="R177" i="9" s="1"/>
  <c r="R241" i="9" a="1"/>
  <c r="R241" i="9" s="1"/>
  <c r="R74" i="9" a="1"/>
  <c r="R74" i="9" s="1"/>
  <c r="R107" i="9" a="1"/>
  <c r="R107" i="9" s="1"/>
  <c r="R119" i="9" a="1"/>
  <c r="R119" i="9" s="1"/>
  <c r="R30" i="9" a="1"/>
  <c r="R30" i="9" s="1"/>
  <c r="R158" i="9" a="1"/>
  <c r="R158" i="9" s="1"/>
  <c r="R222" i="9" a="1"/>
  <c r="R222" i="9" s="1"/>
  <c r="R65" i="9" a="1"/>
  <c r="R65" i="9" s="1"/>
  <c r="R129" i="9" a="1"/>
  <c r="R129" i="9" s="1"/>
  <c r="R75" i="9" a="1"/>
  <c r="R75" i="9" s="1"/>
  <c r="R46" i="9" a="1"/>
  <c r="R46" i="9" s="1"/>
  <c r="R174" i="9" a="1"/>
  <c r="R174" i="9" s="1"/>
  <c r="R238" i="9" a="1"/>
  <c r="R238" i="9" s="1"/>
  <c r="R215" i="9" a="1"/>
  <c r="R215" i="9" s="1"/>
  <c r="R71" i="9" a="1"/>
  <c r="R71" i="9" s="1"/>
  <c r="R231" i="9" a="1"/>
  <c r="R231" i="9" s="1"/>
  <c r="R62" i="9" a="1"/>
  <c r="R62" i="9" s="1"/>
  <c r="R126" i="9" a="1"/>
  <c r="R126" i="9" s="1"/>
  <c r="R190" i="9" a="1"/>
  <c r="R190" i="9" s="1"/>
  <c r="R43" i="9" a="1"/>
  <c r="R43" i="9" s="1"/>
  <c r="R99" i="9" a="1"/>
  <c r="R99" i="9" s="1"/>
  <c r="R7" i="9" a="1"/>
  <c r="R7" i="9" s="1"/>
  <c r="R6" i="9" a="1"/>
  <c r="R6" i="9" s="1"/>
  <c r="R45" i="9" a="1"/>
  <c r="R45" i="9" s="1"/>
  <c r="R29" i="9" a="1"/>
  <c r="R29" i="9" s="1"/>
  <c r="R13" i="9" a="1"/>
  <c r="R13" i="9" s="1"/>
  <c r="R207" i="9" a="1"/>
  <c r="R207" i="9" s="1"/>
  <c r="R139" i="9" a="1"/>
  <c r="R139" i="9" s="1"/>
  <c r="R187" i="9" a="1"/>
  <c r="R187" i="9" s="1"/>
  <c r="R84" i="9" a="1"/>
  <c r="R84" i="9" s="1"/>
  <c r="R51" i="9" a="1"/>
  <c r="R51" i="9" s="1"/>
  <c r="R86" i="9" a="1"/>
  <c r="R86" i="9" s="1"/>
  <c r="R143" i="9" a="1"/>
  <c r="R143" i="9" s="1"/>
  <c r="R136" i="9" a="1"/>
  <c r="R136" i="9" s="1"/>
  <c r="R200" i="9" a="1"/>
  <c r="R200" i="9" s="1"/>
  <c r="R110" i="9" a="1"/>
  <c r="R110" i="9" s="1"/>
  <c r="R11" i="9"/>
  <c r="R87" i="9" a="1"/>
  <c r="R87" i="9" s="1"/>
  <c r="R214" i="9" a="1"/>
  <c r="R214" i="9" s="1"/>
  <c r="R131" i="9" a="1"/>
  <c r="R131" i="9" s="1"/>
  <c r="R167" i="9" a="1"/>
  <c r="R167" i="9" s="1"/>
  <c r="R24" i="9" a="1"/>
  <c r="R24" i="9" s="1"/>
  <c r="R102" i="9" a="1"/>
  <c r="R102" i="9" s="1"/>
  <c r="R166" i="9" a="1"/>
  <c r="R166" i="9" s="1"/>
  <c r="R230" i="9" a="1"/>
  <c r="R230" i="9" s="1"/>
  <c r="R35" i="9" a="1"/>
  <c r="R35" i="9" s="1"/>
  <c r="R164" i="9" a="1"/>
  <c r="R164" i="9" s="1"/>
  <c r="R168" i="9" a="1"/>
  <c r="R168" i="9" s="1"/>
  <c r="R132" i="9" a="1"/>
  <c r="R132" i="9" s="1"/>
  <c r="R28" i="9" a="1"/>
  <c r="R28" i="9" s="1"/>
  <c r="R92" i="9" a="1"/>
  <c r="R92" i="9" s="1"/>
  <c r="R156" i="9" a="1"/>
  <c r="R156" i="9" s="1"/>
  <c r="R220" i="9" a="1"/>
  <c r="R220" i="9" s="1"/>
  <c r="R21" i="9" a="1"/>
  <c r="R21" i="9" s="1"/>
  <c r="R85" i="9" a="1"/>
  <c r="R85" i="9" s="1"/>
  <c r="R149" i="9" a="1"/>
  <c r="R149" i="9" s="1"/>
  <c r="R213" i="9" a="1"/>
  <c r="R213" i="9" s="1"/>
  <c r="R59" i="9" a="1"/>
  <c r="R59" i="9" s="1"/>
  <c r="R48" i="9" a="1"/>
  <c r="R48" i="9" s="1"/>
  <c r="R112" i="9" a="1"/>
  <c r="R112" i="9" s="1"/>
  <c r="R176" i="9" a="1"/>
  <c r="R176" i="9" s="1"/>
  <c r="R240" i="9" a="1"/>
  <c r="R240" i="9" s="1"/>
  <c r="R171" i="9" a="1"/>
  <c r="R171" i="9" s="1"/>
  <c r="R68" i="9" a="1"/>
  <c r="R68" i="9" s="1"/>
  <c r="R196" i="9" a="1"/>
  <c r="R196" i="9" s="1"/>
  <c r="R52" i="9" a="1"/>
  <c r="R52" i="9" s="1"/>
  <c r="R54" i="9" a="1"/>
  <c r="R54" i="9" s="1"/>
  <c r="R118" i="9" a="1"/>
  <c r="R118" i="9" s="1"/>
  <c r="R182" i="9" a="1"/>
  <c r="R182" i="9" s="1"/>
  <c r="R246" i="9" a="1"/>
  <c r="R246" i="9" s="1"/>
  <c r="R67" i="9" a="1"/>
  <c r="R67" i="9" s="1"/>
  <c r="R211" i="9" a="1"/>
  <c r="R211" i="9" s="1"/>
  <c r="R40" i="9" a="1"/>
  <c r="R40" i="9" s="1"/>
  <c r="R94" i="9" a="1"/>
  <c r="R94" i="9" s="1"/>
  <c r="R183" i="9" a="1"/>
  <c r="R183" i="9" s="1"/>
  <c r="R163" i="9" a="1"/>
  <c r="R163" i="9" s="1"/>
  <c r="R70" i="9" a="1"/>
  <c r="R70" i="9" s="1"/>
  <c r="R134" i="9" a="1"/>
  <c r="R134" i="9" s="1"/>
  <c r="R198" i="9" a="1"/>
  <c r="R198" i="9" s="1"/>
  <c r="R195" i="9" a="1"/>
  <c r="R195" i="9" s="1"/>
  <c r="R79" i="9" a="1"/>
  <c r="R79" i="9" s="1"/>
  <c r="R104" i="9" a="1"/>
  <c r="R104" i="9" s="1"/>
  <c r="R72" i="9" a="1"/>
  <c r="R72" i="9" s="1"/>
  <c r="R151" i="9" a="1"/>
  <c r="R151" i="9" s="1"/>
  <c r="R150" i="9" a="1"/>
  <c r="R150" i="9" s="1"/>
  <c r="R232" i="9" a="1"/>
  <c r="R232" i="9" s="1"/>
  <c r="R114" i="9" a="1"/>
  <c r="R114" i="9" s="1"/>
  <c r="R121" i="9" a="1"/>
  <c r="R121" i="9" s="1"/>
  <c r="R56" i="9" a="1"/>
  <c r="R56" i="9" s="1"/>
  <c r="R120" i="9" a="1"/>
  <c r="R120" i="9" s="1"/>
  <c r="R184" i="9" a="1"/>
  <c r="R184" i="9" s="1"/>
  <c r="R248" i="9" a="1"/>
  <c r="R248" i="9" s="1"/>
  <c r="R155" i="9" a="1"/>
  <c r="R155" i="9" s="1"/>
  <c r="R180" i="9" a="1"/>
  <c r="R180" i="9" s="1"/>
  <c r="R44" i="9" a="1"/>
  <c r="R44" i="9" s="1"/>
  <c r="R108" i="9" a="1"/>
  <c r="R108" i="9" s="1"/>
  <c r="R172" i="9" a="1"/>
  <c r="R172" i="9" s="1"/>
  <c r="R236" i="9" a="1"/>
  <c r="R236" i="9" s="1"/>
  <c r="R37" i="9" a="1"/>
  <c r="R37" i="9" s="1"/>
  <c r="R101" i="9" a="1"/>
  <c r="R101" i="9" s="1"/>
  <c r="R165" i="9" a="1"/>
  <c r="R165" i="9" s="1"/>
  <c r="R229" i="9" a="1"/>
  <c r="R229" i="9" s="1"/>
  <c r="R91" i="9" a="1"/>
  <c r="R91" i="9" s="1"/>
  <c r="R64" i="9" a="1"/>
  <c r="R64" i="9" s="1"/>
  <c r="R128" i="9" a="1"/>
  <c r="R128" i="9" s="1"/>
  <c r="R192" i="9" a="1"/>
  <c r="R192" i="9" s="1"/>
  <c r="R123" i="9" a="1"/>
  <c r="R123" i="9" s="1"/>
  <c r="R100" i="9" a="1"/>
  <c r="R100" i="9" s="1"/>
  <c r="R244" i="9" a="1"/>
  <c r="R244" i="9" s="1"/>
  <c r="R228" i="9" a="1"/>
  <c r="R228" i="9" s="1"/>
  <c r="R66" i="9" a="1"/>
  <c r="R66" i="9" s="1"/>
  <c r="R130" i="9" a="1"/>
  <c r="R130" i="9" s="1"/>
  <c r="R194" i="9" a="1"/>
  <c r="R194" i="9" s="1"/>
  <c r="R239" i="9" a="1"/>
  <c r="R239" i="9" s="1"/>
  <c r="R9" i="9" a="1"/>
  <c r="R9" i="9" s="1"/>
  <c r="R73" i="9" a="1"/>
  <c r="R73" i="9" s="1"/>
  <c r="R137" i="9" a="1"/>
  <c r="R137" i="9" s="1"/>
  <c r="R201" i="9" a="1"/>
  <c r="R201" i="9" s="1"/>
  <c r="R63" i="9" a="1"/>
  <c r="R63" i="9" s="1"/>
  <c r="R178" i="9" a="1"/>
  <c r="R178" i="9" s="1"/>
  <c r="R185" i="9" a="1"/>
  <c r="R185" i="9" s="1"/>
  <c r="R8" i="9" a="1"/>
  <c r="R8" i="9" s="1"/>
  <c r="R199" i="9" a="1"/>
  <c r="R199" i="9" s="1"/>
  <c r="R23" i="9" a="1"/>
  <c r="R23" i="9" s="1"/>
  <c r="R235" i="9" a="1"/>
  <c r="R235" i="9" s="1"/>
  <c r="R60" i="9" a="1"/>
  <c r="R60" i="9" s="1"/>
  <c r="R124" i="9" a="1"/>
  <c r="R124" i="9" s="1"/>
  <c r="R188" i="9" a="1"/>
  <c r="R188" i="9" s="1"/>
  <c r="R15" i="9" a="1"/>
  <c r="R15" i="9" s="1"/>
  <c r="R53" i="9" a="1"/>
  <c r="R53" i="9" s="1"/>
  <c r="R117" i="9" a="1"/>
  <c r="R117" i="9" s="1"/>
  <c r="R181" i="9" a="1"/>
  <c r="R181" i="9" s="1"/>
  <c r="R245" i="9" a="1"/>
  <c r="R245" i="9" s="1"/>
  <c r="R127" i="9" a="1"/>
  <c r="R127" i="9" s="1"/>
  <c r="R36" i="9" a="1"/>
  <c r="R36" i="9" s="1"/>
  <c r="R16" i="9" a="1"/>
  <c r="R16" i="9" s="1"/>
  <c r="R80" i="9" a="1"/>
  <c r="R80" i="9" s="1"/>
  <c r="R144" i="9" a="1"/>
  <c r="R144" i="9" s="1"/>
  <c r="R208" i="9" a="1"/>
  <c r="R208" i="9" s="1"/>
  <c r="R39" i="9" a="1"/>
  <c r="R39" i="9" s="1"/>
  <c r="R251" i="9" a="1"/>
  <c r="R251" i="9" s="1"/>
  <c r="R116" i="9" a="1"/>
  <c r="R116" i="9" s="1"/>
  <c r="R18" i="9" a="1"/>
  <c r="R18" i="9" s="1"/>
  <c r="R82" i="9" a="1"/>
  <c r="R82" i="9" s="1"/>
  <c r="R146" i="9" a="1"/>
  <c r="R146" i="9" s="1"/>
  <c r="R210" i="9" a="1"/>
  <c r="R210" i="9" s="1"/>
  <c r="R95" i="9" a="1"/>
  <c r="R95" i="9" s="1"/>
  <c r="R25" i="9" a="1"/>
  <c r="R25" i="9" s="1"/>
  <c r="R89" i="9" a="1"/>
  <c r="R89" i="9" s="1"/>
  <c r="R153" i="9" a="1"/>
  <c r="R153" i="9" s="1"/>
  <c r="R217" i="9" a="1"/>
  <c r="R217" i="9" s="1"/>
  <c r="R27" i="9" a="1"/>
  <c r="R27" i="9" s="1"/>
  <c r="R50" i="9" a="1"/>
  <c r="R50" i="9" s="1"/>
  <c r="R242" i="9" a="1"/>
  <c r="R242" i="9" s="1"/>
  <c r="R57" i="9" a="1"/>
  <c r="R57" i="9" s="1"/>
  <c r="R249" i="9" a="1"/>
  <c r="R249" i="9" s="1"/>
  <c r="R88" i="9" a="1"/>
  <c r="R88" i="9" s="1"/>
  <c r="R152" i="9" a="1"/>
  <c r="R152" i="9" s="1"/>
  <c r="R216" i="9" a="1"/>
  <c r="R216" i="9" s="1"/>
  <c r="R191" i="9" a="1"/>
  <c r="R191" i="9" s="1"/>
  <c r="R247" i="9" a="1"/>
  <c r="R247" i="9" s="1"/>
  <c r="R219" i="9" a="1"/>
  <c r="R219" i="9" s="1"/>
  <c r="R12" i="9" a="1"/>
  <c r="R12" i="9" s="1"/>
  <c r="R76" i="9" a="1"/>
  <c r="R76" i="9" s="1"/>
  <c r="R140" i="9" a="1"/>
  <c r="R140" i="9" s="1"/>
  <c r="R204" i="9" a="1"/>
  <c r="R204" i="9" s="1"/>
  <c r="R5" i="9" a="1"/>
  <c r="R5" i="9" s="1"/>
  <c r="R69" i="9" a="1"/>
  <c r="R69" i="9" s="1"/>
  <c r="R133" i="9" a="1"/>
  <c r="R133" i="9" s="1"/>
  <c r="R197" i="9" a="1"/>
  <c r="R197" i="9" s="1"/>
  <c r="R31" i="9" a="1"/>
  <c r="R31" i="9" s="1"/>
  <c r="R159" i="9" a="1"/>
  <c r="R159" i="9" s="1"/>
  <c r="R212" i="9" a="1"/>
  <c r="R212" i="9" s="1"/>
  <c r="R32" i="9" a="1"/>
  <c r="R32" i="9" s="1"/>
  <c r="R96" i="9" a="1"/>
  <c r="R96" i="9" s="1"/>
  <c r="R160" i="9" a="1"/>
  <c r="R160" i="9" s="1"/>
  <c r="R224" i="9" a="1"/>
  <c r="R224" i="9" s="1"/>
  <c r="R135" i="9" a="1"/>
  <c r="R135" i="9" s="1"/>
  <c r="R20" i="9" a="1"/>
  <c r="R20" i="9" s="1"/>
  <c r="R148" i="9" a="1"/>
  <c r="R148" i="9" s="1"/>
  <c r="R34" i="9" a="1"/>
  <c r="R34" i="9" s="1"/>
  <c r="R98" i="9" a="1"/>
  <c r="R98" i="9" s="1"/>
  <c r="R162" i="9" a="1"/>
  <c r="R162" i="9" s="1"/>
  <c r="R226" i="9" a="1"/>
  <c r="R226" i="9" s="1"/>
  <c r="R41" i="9" a="1"/>
  <c r="R41" i="9" s="1"/>
  <c r="R105" i="9" a="1"/>
  <c r="R105" i="9" s="1"/>
  <c r="R169" i="9" a="1"/>
  <c r="R169" i="9" s="1"/>
  <c r="R233" i="9" a="1"/>
  <c r="R233" i="9" s="1"/>
  <c r="J16" i="7"/>
  <c r="J15" i="7"/>
  <c r="G3" i="8"/>
  <c r="I21" i="7"/>
  <c r="K9" i="8" s="1"/>
  <c r="H241" i="8" l="1"/>
  <c r="H177" i="8"/>
  <c r="H129" i="8"/>
  <c r="H81" i="8"/>
  <c r="H49" i="8"/>
  <c r="H201" i="8"/>
  <c r="H105" i="8"/>
  <c r="H197" i="8"/>
  <c r="H133" i="8"/>
  <c r="H225" i="8"/>
  <c r="H193" i="8"/>
  <c r="H145" i="8"/>
  <c r="H97" i="8"/>
  <c r="H195" i="8"/>
  <c r="H78" i="8"/>
  <c r="H54" i="8"/>
  <c r="H30" i="8"/>
  <c r="H213" i="8"/>
  <c r="H149" i="8"/>
  <c r="H199" i="8"/>
  <c r="H151" i="8"/>
  <c r="H123" i="8"/>
  <c r="H99" i="8"/>
  <c r="H47" i="8"/>
  <c r="H9" i="8"/>
  <c r="H250" i="8"/>
  <c r="H214" i="8"/>
  <c r="H206" i="8"/>
  <c r="H178" i="8"/>
  <c r="H170" i="8"/>
  <c r="H150" i="8"/>
  <c r="H142" i="8"/>
  <c r="H114" i="8"/>
  <c r="H106" i="8"/>
  <c r="H235" i="8"/>
  <c r="H211" i="8"/>
  <c r="H119" i="8"/>
  <c r="H19" i="8"/>
  <c r="H234" i="8"/>
  <c r="H39" i="8"/>
  <c r="H242" i="8"/>
  <c r="H244" i="8"/>
  <c r="H236" i="8"/>
  <c r="H228" i="8"/>
  <c r="H220" i="8"/>
  <c r="H212" i="8"/>
  <c r="H204" i="8"/>
  <c r="H196" i="8"/>
  <c r="H188" i="8"/>
  <c r="H180" i="8"/>
  <c r="H172" i="8"/>
  <c r="H164" i="8"/>
  <c r="H156" i="8"/>
  <c r="H148" i="8"/>
  <c r="H140" i="8"/>
  <c r="H132" i="8"/>
  <c r="H124" i="8"/>
  <c r="H116" i="8"/>
  <c r="H108" i="8"/>
  <c r="H100" i="8"/>
  <c r="H92" i="8"/>
  <c r="H84" i="8"/>
  <c r="H76" i="8"/>
  <c r="H68" i="8"/>
  <c r="H60" i="8"/>
  <c r="H52" i="8"/>
  <c r="H44" i="8"/>
  <c r="H36" i="8"/>
  <c r="H28" i="8"/>
  <c r="H20" i="8"/>
  <c r="H4" i="8"/>
  <c r="H67" i="8"/>
  <c r="H91" i="8"/>
  <c r="H217" i="8"/>
  <c r="H153" i="8"/>
  <c r="H237" i="8"/>
  <c r="H189" i="8"/>
  <c r="H141" i="8"/>
  <c r="H93" i="8"/>
  <c r="H45" i="8"/>
  <c r="H243" i="8"/>
  <c r="H219" i="8"/>
  <c r="H175" i="8"/>
  <c r="H87" i="8"/>
  <c r="H59" i="8"/>
  <c r="H11" i="8"/>
  <c r="H246" i="8"/>
  <c r="H230" i="8"/>
  <c r="H222" i="8"/>
  <c r="H194" i="8"/>
  <c r="H186" i="8"/>
  <c r="H166" i="8"/>
  <c r="H158" i="8"/>
  <c r="H130" i="8"/>
  <c r="H122" i="8"/>
  <c r="H102" i="8"/>
  <c r="H94" i="8"/>
  <c r="H82" i="8"/>
  <c r="H66" i="8"/>
  <c r="H50" i="8"/>
  <c r="H34" i="8"/>
  <c r="H18" i="8"/>
  <c r="H6" i="8"/>
  <c r="H69" i="8"/>
  <c r="H37" i="8"/>
  <c r="H5" i="8"/>
  <c r="H247" i="8"/>
  <c r="H171" i="8"/>
  <c r="H143" i="8"/>
  <c r="H95" i="8"/>
  <c r="H55" i="8"/>
  <c r="H7" i="8"/>
  <c r="H41" i="8"/>
  <c r="H70" i="8"/>
  <c r="H251" i="8"/>
  <c r="H227" i="8"/>
  <c r="H203" i="8"/>
  <c r="H179" i="8"/>
  <c r="H155" i="8"/>
  <c r="H139" i="8"/>
  <c r="H115" i="8"/>
  <c r="H79" i="8"/>
  <c r="H63" i="8"/>
  <c r="H205" i="8"/>
  <c r="H161" i="8"/>
  <c r="H113" i="8"/>
  <c r="H65" i="8"/>
  <c r="H33" i="8"/>
  <c r="H233" i="8"/>
  <c r="H169" i="8"/>
  <c r="H229" i="8"/>
  <c r="H165" i="8"/>
  <c r="H101" i="8"/>
  <c r="H221" i="8"/>
  <c r="H173" i="8"/>
  <c r="H125" i="8"/>
  <c r="H61" i="8"/>
  <c r="H86" i="8"/>
  <c r="H62" i="8"/>
  <c r="H46" i="8"/>
  <c r="H22" i="8"/>
  <c r="H245" i="8"/>
  <c r="H181" i="8"/>
  <c r="H117" i="8"/>
  <c r="H231" i="8"/>
  <c r="H111" i="8"/>
  <c r="H35" i="8"/>
  <c r="H57" i="8"/>
  <c r="H38" i="8"/>
  <c r="H210" i="8"/>
  <c r="H202" i="8"/>
  <c r="H182" i="8"/>
  <c r="H174" i="8"/>
  <c r="H146" i="8"/>
  <c r="H138" i="8"/>
  <c r="H118" i="8"/>
  <c r="H110" i="8"/>
  <c r="H223" i="8"/>
  <c r="H183" i="8"/>
  <c r="H135" i="8"/>
  <c r="H31" i="8"/>
  <c r="H215" i="8"/>
  <c r="H167" i="8"/>
  <c r="H103" i="8"/>
  <c r="H71" i="8"/>
  <c r="H27" i="8"/>
  <c r="H73" i="8"/>
  <c r="H248" i="8"/>
  <c r="H240" i="8"/>
  <c r="H232" i="8"/>
  <c r="H224" i="8"/>
  <c r="H216" i="8"/>
  <c r="H208" i="8"/>
  <c r="H200" i="8"/>
  <c r="H192" i="8"/>
  <c r="H184" i="8"/>
  <c r="H176" i="8"/>
  <c r="H168" i="8"/>
  <c r="H160" i="8"/>
  <c r="H152" i="8"/>
  <c r="H144" i="8"/>
  <c r="H136" i="8"/>
  <c r="H128" i="8"/>
  <c r="H120" i="8"/>
  <c r="H112" i="8"/>
  <c r="H104" i="8"/>
  <c r="H96" i="8"/>
  <c r="H88" i="8"/>
  <c r="H80" i="8"/>
  <c r="H72" i="8"/>
  <c r="H64" i="8"/>
  <c r="H56" i="8"/>
  <c r="H48" i="8"/>
  <c r="H40" i="8"/>
  <c r="H32" i="8"/>
  <c r="H24" i="8"/>
  <c r="H249" i="8"/>
  <c r="H185" i="8"/>
  <c r="H121" i="8"/>
  <c r="H209" i="8"/>
  <c r="H157" i="8"/>
  <c r="H109" i="8"/>
  <c r="H77" i="8"/>
  <c r="H29" i="8"/>
  <c r="H137" i="8"/>
  <c r="H207" i="8"/>
  <c r="H187" i="8"/>
  <c r="H163" i="8"/>
  <c r="H75" i="8"/>
  <c r="H23" i="8"/>
  <c r="H238" i="8"/>
  <c r="H226" i="8"/>
  <c r="H218" i="8"/>
  <c r="H198" i="8"/>
  <c r="H190" i="8"/>
  <c r="H162" i="8"/>
  <c r="H154" i="8"/>
  <c r="H134" i="8"/>
  <c r="H126" i="8"/>
  <c r="H98" i="8"/>
  <c r="H90" i="8"/>
  <c r="H74" i="8"/>
  <c r="H58" i="8"/>
  <c r="H42" i="8"/>
  <c r="H26" i="8"/>
  <c r="H10" i="8"/>
  <c r="H85" i="8"/>
  <c r="H53" i="8"/>
  <c r="H21" i="8"/>
  <c r="H159" i="8"/>
  <c r="H107" i="8"/>
  <c r="H83" i="8"/>
  <c r="H43" i="8"/>
  <c r="H89" i="8"/>
  <c r="H25" i="8"/>
  <c r="H131" i="8"/>
  <c r="H239" i="8"/>
  <c r="H191" i="8"/>
  <c r="H147" i="8"/>
  <c r="H127" i="8"/>
  <c r="H51" i="8"/>
  <c r="J21" i="7"/>
  <c r="L9" i="8" s="1"/>
  <c r="S4" i="9" a="1"/>
  <c r="S4" i="9" s="1"/>
  <c r="V24" i="9" s="1"/>
  <c r="V26" i="9" s="1"/>
  <c r="L10" i="8" s="1"/>
  <c r="H3" i="8"/>
  <c r="U21" i="9" l="1"/>
  <c r="V21" i="9" s="1"/>
  <c r="U24" i="9"/>
  <c r="U26" i="9" l="1"/>
  <c r="K10" i="8" s="1"/>
  <c r="S2" i="13" s="1" a="1"/>
  <c r="S2" i="13" s="1"/>
  <c r="G8" i="8" l="1"/>
  <c r="H8" i="8"/>
  <c r="I4" i="8"/>
  <c r="I8" i="8"/>
  <c r="I20" i="8"/>
  <c r="I24" i="8"/>
  <c r="I28" i="8"/>
  <c r="I32" i="8"/>
  <c r="I36" i="8"/>
  <c r="I40" i="8"/>
  <c r="I44" i="8"/>
  <c r="I48" i="8"/>
  <c r="I52" i="8"/>
  <c r="I56" i="8"/>
  <c r="I60" i="8"/>
  <c r="I64" i="8"/>
  <c r="I68" i="8"/>
  <c r="I72" i="8"/>
  <c r="I76" i="8"/>
  <c r="I80" i="8"/>
  <c r="I84" i="8"/>
  <c r="I88" i="8"/>
  <c r="I92" i="8"/>
  <c r="I96" i="8"/>
  <c r="I100" i="8"/>
  <c r="I104" i="8"/>
  <c r="I108" i="8"/>
  <c r="I112" i="8"/>
  <c r="I116" i="8"/>
  <c r="I120" i="8"/>
  <c r="I124" i="8"/>
  <c r="I128" i="8"/>
  <c r="I132" i="8"/>
  <c r="I136" i="8"/>
  <c r="I140" i="8"/>
  <c r="I144" i="8"/>
  <c r="I148" i="8"/>
  <c r="I152" i="8"/>
  <c r="I156" i="8"/>
  <c r="I160" i="8"/>
  <c r="I164" i="8"/>
  <c r="I168" i="8"/>
  <c r="I172" i="8"/>
  <c r="I176" i="8"/>
  <c r="I180" i="8"/>
  <c r="I184" i="8"/>
  <c r="I188" i="8"/>
  <c r="I192" i="8"/>
  <c r="I196" i="8"/>
  <c r="I200" i="8"/>
  <c r="I204" i="8"/>
  <c r="I208" i="8"/>
  <c r="I212" i="8"/>
  <c r="I216" i="8"/>
  <c r="I220" i="8"/>
  <c r="I224" i="8"/>
  <c r="I228" i="8"/>
  <c r="I232" i="8"/>
  <c r="I236" i="8"/>
  <c r="I240" i="8"/>
  <c r="I244" i="8"/>
  <c r="I248" i="8"/>
  <c r="I6" i="8"/>
  <c r="I18" i="8"/>
  <c r="I22" i="8"/>
  <c r="I26" i="8"/>
  <c r="I30" i="8"/>
  <c r="I34" i="8"/>
  <c r="I38" i="8"/>
  <c r="I42" i="8"/>
  <c r="I46" i="8"/>
  <c r="I50" i="8"/>
  <c r="I54" i="8"/>
  <c r="I58" i="8"/>
  <c r="I62" i="8"/>
  <c r="I66" i="8"/>
  <c r="I70" i="8"/>
  <c r="I74" i="8"/>
  <c r="I78" i="8"/>
  <c r="I82" i="8"/>
  <c r="I86" i="8"/>
  <c r="I90" i="8"/>
  <c r="I94" i="8"/>
  <c r="I98" i="8"/>
  <c r="I5" i="8"/>
  <c r="I9" i="8"/>
  <c r="I21" i="8"/>
  <c r="I25" i="8"/>
  <c r="I29" i="8"/>
  <c r="I33" i="8"/>
  <c r="I37" i="8"/>
  <c r="I41" i="8"/>
  <c r="I45" i="8"/>
  <c r="I49" i="8"/>
  <c r="I53" i="8"/>
  <c r="I57" i="8"/>
  <c r="I61" i="8"/>
  <c r="I65" i="8"/>
  <c r="I69" i="8"/>
  <c r="I73" i="8"/>
  <c r="I77" i="8"/>
  <c r="I81" i="8"/>
  <c r="I85" i="8"/>
  <c r="I89" i="8"/>
  <c r="I93" i="8"/>
  <c r="I97" i="8"/>
  <c r="I101" i="8"/>
  <c r="I105" i="8"/>
  <c r="I109" i="8"/>
  <c r="I113" i="8"/>
  <c r="I117" i="8"/>
  <c r="I121" i="8"/>
  <c r="I125" i="8"/>
  <c r="I129" i="8"/>
  <c r="I133" i="8"/>
  <c r="I137" i="8"/>
  <c r="I141" i="8"/>
  <c r="I145" i="8"/>
  <c r="I149" i="8"/>
  <c r="I153" i="8"/>
  <c r="I157" i="8"/>
  <c r="I161" i="8"/>
  <c r="I165" i="8"/>
  <c r="I169" i="8"/>
  <c r="I173" i="8"/>
  <c r="I177" i="8"/>
  <c r="I181" i="8"/>
  <c r="I185" i="8"/>
  <c r="I189" i="8"/>
  <c r="I193" i="8"/>
  <c r="I197" i="8"/>
  <c r="I201" i="8"/>
  <c r="I205" i="8"/>
  <c r="I209" i="8"/>
  <c r="I213" i="8"/>
  <c r="I217" i="8"/>
  <c r="I221" i="8"/>
  <c r="I225" i="8"/>
  <c r="I229" i="8"/>
  <c r="I233" i="8"/>
  <c r="I237" i="8"/>
  <c r="I241" i="8"/>
  <c r="I245" i="8"/>
  <c r="I249" i="8"/>
  <c r="I7" i="8"/>
  <c r="I19" i="8"/>
  <c r="I35" i="8"/>
  <c r="I51" i="8"/>
  <c r="I67" i="8"/>
  <c r="I83" i="8"/>
  <c r="I99" i="8"/>
  <c r="I107" i="8"/>
  <c r="I115" i="8"/>
  <c r="I123" i="8"/>
  <c r="I131" i="8"/>
  <c r="I139" i="8"/>
  <c r="I147" i="8"/>
  <c r="I155" i="8"/>
  <c r="I163" i="8"/>
  <c r="I171" i="8"/>
  <c r="I179" i="8"/>
  <c r="I187" i="8"/>
  <c r="I195" i="8"/>
  <c r="I203" i="8"/>
  <c r="I211" i="8"/>
  <c r="I219" i="8"/>
  <c r="I227" i="8"/>
  <c r="I235" i="8"/>
  <c r="I243" i="8"/>
  <c r="I251" i="8"/>
  <c r="I11" i="8"/>
  <c r="I43" i="8"/>
  <c r="I59" i="8"/>
  <c r="I91" i="8"/>
  <c r="I111" i="8"/>
  <c r="I127" i="8"/>
  <c r="I143" i="8"/>
  <c r="I159" i="8"/>
  <c r="I175" i="8"/>
  <c r="I191" i="8"/>
  <c r="I207" i="8"/>
  <c r="I223" i="8"/>
  <c r="I239" i="8"/>
  <c r="I47" i="8"/>
  <c r="I63" i="8"/>
  <c r="I79" i="8"/>
  <c r="I95" i="8"/>
  <c r="I106" i="8"/>
  <c r="I114" i="8"/>
  <c r="I122" i="8"/>
  <c r="I138" i="8"/>
  <c r="I146" i="8"/>
  <c r="I162" i="8"/>
  <c r="I178" i="8"/>
  <c r="I194" i="8"/>
  <c r="I202" i="8"/>
  <c r="I218" i="8"/>
  <c r="I234" i="8"/>
  <c r="I250" i="8"/>
  <c r="I10" i="8"/>
  <c r="I23" i="8"/>
  <c r="I39" i="8"/>
  <c r="I55" i="8"/>
  <c r="I71" i="8"/>
  <c r="I87" i="8"/>
  <c r="I102" i="8"/>
  <c r="I110" i="8"/>
  <c r="I118" i="8"/>
  <c r="I126" i="8"/>
  <c r="I134" i="8"/>
  <c r="I142" i="8"/>
  <c r="I150" i="8"/>
  <c r="I158" i="8"/>
  <c r="I166" i="8"/>
  <c r="I174" i="8"/>
  <c r="I182" i="8"/>
  <c r="I190" i="8"/>
  <c r="I198" i="8"/>
  <c r="I206" i="8"/>
  <c r="I214" i="8"/>
  <c r="I222" i="8"/>
  <c r="I230" i="8"/>
  <c r="I238" i="8"/>
  <c r="I246" i="8"/>
  <c r="I27" i="8"/>
  <c r="I75" i="8"/>
  <c r="I103" i="8"/>
  <c r="I119" i="8"/>
  <c r="I135" i="8"/>
  <c r="I151" i="8"/>
  <c r="I167" i="8"/>
  <c r="I183" i="8"/>
  <c r="I199" i="8"/>
  <c r="I215" i="8"/>
  <c r="I231" i="8"/>
  <c r="I247" i="8"/>
  <c r="I31" i="8"/>
  <c r="I130" i="8"/>
  <c r="I154" i="8"/>
  <c r="I170" i="8"/>
  <c r="I186" i="8"/>
  <c r="I210" i="8"/>
  <c r="I226" i="8"/>
  <c r="I242" i="8"/>
  <c r="I3" i="8"/>
  <c r="G16" i="8"/>
  <c r="I16" i="8"/>
  <c r="H16" i="8"/>
  <c r="I12" i="8"/>
  <c r="G17" i="8"/>
  <c r="I17" i="8"/>
  <c r="H17" i="8"/>
  <c r="H13" i="8"/>
  <c r="G13" i="8"/>
  <c r="K15" i="8"/>
  <c r="I13" i="8"/>
  <c r="G15" i="8"/>
  <c r="I15" i="8"/>
  <c r="H15" i="8"/>
  <c r="G14" i="8"/>
  <c r="I14" i="8"/>
  <c r="H14" i="8"/>
  <c r="H12" i="8"/>
  <c r="L15" i="8"/>
  <c r="G12" i="8"/>
  <c r="M15" i="8"/>
  <c r="L14" i="8" l="1"/>
  <c r="AC5" i="13" s="1"/>
  <c r="K14" i="8"/>
  <c r="K17" i="8" s="1"/>
  <c r="K18" i="8" s="1"/>
  <c r="AE4" i="13" s="1"/>
  <c r="M14" i="8"/>
  <c r="AC3" i="13" s="1"/>
  <c r="L16" i="8" l="1"/>
  <c r="L17" i="8"/>
  <c r="L18" i="8" s="1"/>
  <c r="AE5" i="13" s="1"/>
  <c r="AC4" i="13"/>
  <c r="K16" i="8"/>
  <c r="K19" i="8"/>
  <c r="AF4" i="13" s="1"/>
  <c r="M17" i="8"/>
  <c r="M18" i="8" s="1"/>
  <c r="AE3" i="13" s="1"/>
  <c r="M16" i="8"/>
  <c r="L19" i="8" l="1"/>
  <c r="AF5" i="13" s="1"/>
  <c r="M19" i="8"/>
  <c r="AF3" i="13" s="1"/>
  <c r="N17" i="14" l="1" a="1"/>
  <c r="N17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F4A1BD-2A6E-4F63-A2EA-4D9911C4E96E}" keepAlive="1" name="Query - AAPL_tbl" description="Connection to the 'AAPL_tbl' query in the workbook." type="5" refreshedVersion="8" background="1" saveData="1">
    <dbPr connection="Provider=Microsoft.Mashup.OleDb.1;Data Source=$Workbook$;Location=AAPL_tbl;Extended Properties=&quot;&quot;" command="SELECT * FROM [AAPL_tbl]"/>
  </connection>
  <connection id="2" xr16:uid="{74B965EE-0F41-4245-975A-4B2C8A4AA341}" keepAlive="1" name="Query - AAPL_US" description="Connection to the 'AAPL_US' query in the workbook." type="5" refreshedVersion="8" background="1" saveData="1">
    <dbPr connection="Provider=Microsoft.Mashup.OleDb.1;Data Source=$Workbook$;Location=AAPL_US;Extended Properties=&quot;&quot;" command="SELECT * FROM [AAPL_US]"/>
  </connection>
  <connection id="3" xr16:uid="{60C2A8C2-9512-4280-9BEA-FA62C34E1890}" keepAlive="1" name="Query - BTC_tbl" description="Connection to the 'BTC_tbl' query in the workbook." type="5" refreshedVersion="8" background="1" saveData="1">
    <dbPr connection="Provider=Microsoft.Mashup.OleDb.1;Data Source=$Workbook$;Location=BTC_tbl;Extended Properties=&quot;&quot;" command="SELECT * FROM [BTC_tbl]"/>
  </connection>
  <connection id="4" xr16:uid="{D2CF3EC5-EB5C-411A-B073-CAFAF533E542}" keepAlive="1" name="Query - BTCUSD" description="Connection to the 'BTCUSD' query in the workbook." type="5" refreshedVersion="8" background="1" saveData="1">
    <dbPr connection="Provider=Microsoft.Mashup.OleDb.1;Data Source=$Workbook$;Location=BTCUSD;Extended Properties=&quot;&quot;" command="SELECT * FROM [BTCUSD]"/>
  </connection>
  <connection id="5" xr16:uid="{E7C3EF61-08C9-4E78-936E-CEE1E8CB743F}" keepAlive="1" name="Query - fnGetStooq_1Y" description="Connection to the 'fnGetStooq_1Y' query in the workbook." type="5" refreshedVersion="0" background="1">
    <dbPr connection="Provider=Microsoft.Mashup.OleDb.1;Data Source=$Workbook$;Location=fnGetStooq_1Y;Extended Properties=&quot;&quot;" command="SELECT * FROM [fnGetStooq_1Y]"/>
  </connection>
  <connection id="6" xr16:uid="{C72ED9F1-D94B-499D-9011-637D32977C6B}" keepAlive="1" name="Query - Gold_tbl" description="Connection to the 'Gold_tbl' query in the workbook." type="5" refreshedVersion="8" background="1" saveData="1">
    <dbPr connection="Provider=Microsoft.Mashup.OleDb.1;Data Source=$Workbook$;Location=Gold_tbl;Extended Properties=&quot;&quot;" command="SELECT * FROM [Gold_tbl]"/>
  </connection>
  <connection id="7" xr16:uid="{0CD69A21-DA4A-4457-A7D6-82C405166BF5}" keepAlive="1" name="Query - Merge1" description="Connection to the 'Merge1' query in the workbook." type="5" refreshedVersion="0" background="1" saveData="1">
    <dbPr connection="Provider=Microsoft.Mashup.OleDb.1;Data Source=$Workbook$;Location=Merge1;Extended Properties=&quot;&quot;" command="SELECT * FROM [Merge1]"/>
  </connection>
  <connection id="8" xr16:uid="{096DF048-74B5-4AEB-A6B6-D853BF15197B}" keepAlive="1" name="Query - Merged_data" description="Connection to the 'Merged_data' query in the workbook." type="5" refreshedVersion="8" background="1" saveData="1">
    <dbPr connection="Provider=Microsoft.Mashup.OleDb.1;Data Source=$Workbook$;Location=Merged_data;Extended Properties=&quot;&quot;" command="SELECT * FROM [Merged_data]"/>
  </connection>
  <connection id="9" xr16:uid="{53751B1B-FE91-465B-BCFF-2E05A0F7D835}" keepAlive="1" name="Query - XAUUSD" description="Connection to the 'XAUUSD' query in the workbook." type="5" refreshedVersion="8" background="1" saveData="1">
    <dbPr connection="Provider=Microsoft.Mashup.OleDb.1;Data Source=$Workbook$;Location=XAUUSD;Extended Properties=&quot;&quot;" command="SELECT * FROM [XAUUS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<sst xmlns="http://schemas.openxmlformats.org/spreadsheetml/2006/main" count="149" uniqueCount="79">
  <si>
    <t>Date</t>
  </si>
  <si>
    <t>AAPL_return</t>
  </si>
  <si>
    <t>Weights</t>
  </si>
  <si>
    <t>BTC</t>
  </si>
  <si>
    <t>Gold</t>
  </si>
  <si>
    <t>AAPL</t>
  </si>
  <si>
    <t>Stocks</t>
  </si>
  <si>
    <t>Portfolio_return</t>
  </si>
  <si>
    <t>Asc_prt_ret</t>
  </si>
  <si>
    <t>Ranks</t>
  </si>
  <si>
    <t>VaR Using Historical Simulation Method</t>
  </si>
  <si>
    <t>Alpha</t>
  </si>
  <si>
    <t>Total no. of days</t>
  </si>
  <si>
    <t>Return rate</t>
  </si>
  <si>
    <t>Portfolio Value</t>
  </si>
  <si>
    <t>1 Day VaR</t>
  </si>
  <si>
    <t>Stock Value</t>
  </si>
  <si>
    <t xml:space="preserve">Portfolio Mean Return </t>
  </si>
  <si>
    <t xml:space="preserve">Covariance </t>
  </si>
  <si>
    <t>Standard Deviation</t>
  </si>
  <si>
    <t>Portfilio Standard Deviation</t>
  </si>
  <si>
    <t>VaR Using Parametric  Method</t>
  </si>
  <si>
    <t>Z-value</t>
  </si>
  <si>
    <t>Profit and Loss</t>
  </si>
  <si>
    <t>His_99%_CI</t>
  </si>
  <si>
    <t xml:space="preserve">Parametric </t>
  </si>
  <si>
    <t xml:space="preserve">Historical </t>
  </si>
  <si>
    <t>VaR Methods</t>
  </si>
  <si>
    <t>99% CI</t>
  </si>
  <si>
    <t>95% CI</t>
  </si>
  <si>
    <t>Par_99%_CI</t>
  </si>
  <si>
    <t>Historical</t>
  </si>
  <si>
    <t>Parametric</t>
  </si>
  <si>
    <t>p</t>
  </si>
  <si>
    <t>x</t>
  </si>
  <si>
    <t>n</t>
  </si>
  <si>
    <t>p^</t>
  </si>
  <si>
    <t>LR</t>
  </si>
  <si>
    <t>p value</t>
  </si>
  <si>
    <t>p value &gt; 5%</t>
  </si>
  <si>
    <t>Uncorrelated Random Variable</t>
  </si>
  <si>
    <t>w1</t>
  </si>
  <si>
    <t>w2</t>
  </si>
  <si>
    <t>w3</t>
  </si>
  <si>
    <t>Correlation</t>
  </si>
  <si>
    <t>Cholesky</t>
  </si>
  <si>
    <t>Correlated Random Variable</t>
  </si>
  <si>
    <t>Risk free rate</t>
  </si>
  <si>
    <t>Volatility</t>
  </si>
  <si>
    <t>Drift</t>
  </si>
  <si>
    <t>S0</t>
  </si>
  <si>
    <t>Simulated Stock Prices</t>
  </si>
  <si>
    <t>Log Returns</t>
  </si>
  <si>
    <t>Asc Order</t>
  </si>
  <si>
    <t>Portfolio ret</t>
  </si>
  <si>
    <t>VaR Using Monte Carlo</t>
  </si>
  <si>
    <t>No. of returns</t>
  </si>
  <si>
    <t>Ret. at pos.</t>
  </si>
  <si>
    <t>Portfolio value</t>
  </si>
  <si>
    <t>1 Day Var</t>
  </si>
  <si>
    <t>Monte Carlo</t>
  </si>
  <si>
    <t>Mont_99%_CI</t>
  </si>
  <si>
    <t xml:space="preserve">Monte Carlo </t>
  </si>
  <si>
    <t>AAPL_Close</t>
  </si>
  <si>
    <t>XAUUSD_Close</t>
  </si>
  <si>
    <t>BTCUSD_Close</t>
  </si>
  <si>
    <t>BTCUSD_return</t>
  </si>
  <si>
    <t>XAUSSD_return</t>
  </si>
  <si>
    <t>BTCUSD</t>
  </si>
  <si>
    <t>Portfolio</t>
  </si>
  <si>
    <t>XAUUSD</t>
  </si>
  <si>
    <t>Methods</t>
  </si>
  <si>
    <t>Days</t>
  </si>
  <si>
    <t>Number  of Breaches</t>
  </si>
  <si>
    <t>Result</t>
  </si>
  <si>
    <t>Apple</t>
  </si>
  <si>
    <t>Confidence Level</t>
  </si>
  <si>
    <t>C L</t>
  </si>
  <si>
    <t>1 Day VaR Backtest @99% C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</si>
</sst>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[$$-409]* #,##0.00_);_([$$-409]* \(#,##0.00\);_([$$-409]* &quot;-&quot;??_);_(@_)"/>
    <numFmt numFmtId="167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9" fontId="0" fillId="0" borderId="0" xfId="0" applyNumberFormat="1"/>
    <xf numFmtId="14" fontId="2" fillId="2" borderId="0" xfId="0" applyNumberFormat="1" applyFont="1" applyFill="1"/>
    <xf numFmtId="10" fontId="0" fillId="0" borderId="0" xfId="0" applyNumberFormat="1"/>
    <xf numFmtId="10" fontId="2" fillId="2" borderId="0" xfId="0" applyNumberFormat="1" applyFont="1" applyFill="1"/>
    <xf numFmtId="0" fontId="2" fillId="2" borderId="0" xfId="0" applyFont="1" applyFill="1"/>
    <xf numFmtId="9" fontId="0" fillId="3" borderId="0" xfId="0" applyNumberFormat="1" applyFill="1"/>
    <xf numFmtId="165" fontId="0" fillId="0" borderId="0" xfId="1" applyNumberFormat="1" applyFont="1"/>
    <xf numFmtId="0" fontId="0" fillId="3" borderId="0" xfId="0" applyFill="1"/>
    <xf numFmtId="164" fontId="0" fillId="3" borderId="0" xfId="0" applyNumberFormat="1" applyFill="1"/>
    <xf numFmtId="166" fontId="0" fillId="0" borderId="0" xfId="0" applyNumberFormat="1"/>
    <xf numFmtId="165" fontId="0" fillId="0" borderId="0" xfId="0" applyNumberFormat="1"/>
    <xf numFmtId="0" fontId="0" fillId="0" borderId="1" xfId="0" applyBorder="1"/>
    <xf numFmtId="11" fontId="0" fillId="0" borderId="1" xfId="0" applyNumberFormat="1" applyBorder="1"/>
    <xf numFmtId="11" fontId="0" fillId="0" borderId="0" xfId="0" applyNumberFormat="1"/>
    <xf numFmtId="10" fontId="0" fillId="3" borderId="0" xfId="0" applyNumberFormat="1" applyFill="1"/>
    <xf numFmtId="165" fontId="0" fillId="3" borderId="0" xfId="1" applyNumberFormat="1" applyFont="1" applyFill="1"/>
    <xf numFmtId="167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9" fontId="0" fillId="0" borderId="0" xfId="2" applyFont="1"/>
    <xf numFmtId="14" fontId="2" fillId="0" borderId="0" xfId="0" applyNumberFormat="1" applyFont="1"/>
    <xf numFmtId="0" fontId="2" fillId="0" borderId="0" xfId="0" applyFont="1"/>
    <xf numFmtId="9" fontId="4" fillId="0" borderId="0" xfId="0" applyNumberFormat="1" applyFont="1"/>
    <xf numFmtId="0" fontId="4" fillId="4" borderId="0" xfId="0" applyFont="1" applyFill="1"/>
    <xf numFmtId="0" fontId="0" fillId="5" borderId="0" xfId="0" applyFill="1"/>
    <xf numFmtId="9" fontId="0" fillId="6" borderId="0" xfId="0" applyNumberFormat="1" applyFill="1"/>
    <xf numFmtId="10" fontId="0" fillId="6" borderId="0" xfId="0" applyNumberForma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9" fontId="0" fillId="7" borderId="0" xfId="2" applyFont="1" applyFill="1" applyAlignment="1">
      <alignment horizontal="center" vertical="center"/>
    </xf>
    <xf numFmtId="0" fontId="6" fillId="8" borderId="0" xfId="0" applyFont="1" applyFill="1"/>
    <xf numFmtId="0" fontId="0" fillId="0" borderId="0" xfId="0" applyAlignment="1">
      <alignment horizontal="center"/>
    </xf>
    <xf numFmtId="10" fontId="2" fillId="2" borderId="0" xfId="0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7"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numFmt numFmtId="19" formatCode="m/d/yyyy"/>
    </dxf>
  </dxfs>
  <tableStyles count="0" defaultTableStyle="TableStyleMedium2" defaultPivotStyle="PivotStyleLight16"/>
  <colors>
    <mruColors>
      <color rgb="FFFFCCCC"/>
      <color rgb="FFFF9999"/>
      <color rgb="FFFF5050"/>
      <color rgb="FFFFB7B7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23/09/relationships/Python" Target="pyth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Normalized Asset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Calculation!$D$1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Calculation!$D$2:$D$251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100.36424647054731</c:v>
                </c:pt>
                <c:pt idx="2">
                  <c:v>101.22704986438558</c:v>
                </c:pt>
                <c:pt idx="3">
                  <c:v>101.34440851241395</c:v>
                </c:pt>
                <c:pt idx="4">
                  <c:v>99.796143681758124</c:v>
                </c:pt>
                <c:pt idx="5">
                  <c:v>97.978823283955762</c:v>
                </c:pt>
                <c:pt idx="6">
                  <c:v>96.677446275818895</c:v>
                </c:pt>
                <c:pt idx="7">
                  <c:v>96.287120105709718</c:v>
                </c:pt>
                <c:pt idx="8">
                  <c:v>96.911728910216283</c:v>
                </c:pt>
                <c:pt idx="9">
                  <c:v>96.595295222199042</c:v>
                </c:pt>
                <c:pt idx="10">
                  <c:v>98.659503442520332</c:v>
                </c:pt>
                <c:pt idx="11">
                  <c:v>98.54257945615133</c:v>
                </c:pt>
                <c:pt idx="12">
                  <c:v>97.357257111064754</c:v>
                </c:pt>
                <c:pt idx="13">
                  <c:v>97.357257111064754</c:v>
                </c:pt>
                <c:pt idx="14">
                  <c:v>97.743671326239649</c:v>
                </c:pt>
                <c:pt idx="15">
                  <c:v>99.089383823631678</c:v>
                </c:pt>
                <c:pt idx="16">
                  <c:v>97.691511927115926</c:v>
                </c:pt>
                <c:pt idx="17">
                  <c:v>99.002886153418189</c:v>
                </c:pt>
                <c:pt idx="18">
                  <c:v>99.115463523193554</c:v>
                </c:pt>
                <c:pt idx="19">
                  <c:v>99.427985256276514</c:v>
                </c:pt>
                <c:pt idx="20">
                  <c:v>99.219782321441002</c:v>
                </c:pt>
                <c:pt idx="21">
                  <c:v>99.806140899923506</c:v>
                </c:pt>
                <c:pt idx="22">
                  <c:v>101.1083872313791</c:v>
                </c:pt>
                <c:pt idx="23">
                  <c:v>102.05942694206828</c:v>
                </c:pt>
                <c:pt idx="24">
                  <c:v>102.00292092635092</c:v>
                </c:pt>
                <c:pt idx="25">
                  <c:v>103.04480492384727</c:v>
                </c:pt>
                <c:pt idx="26">
                  <c:v>104.02627095069199</c:v>
                </c:pt>
                <c:pt idx="27">
                  <c:v>105.35503164336879</c:v>
                </c:pt>
                <c:pt idx="28">
                  <c:v>105.51107517908061</c:v>
                </c:pt>
                <c:pt idx="29">
                  <c:v>105.52411502886154</c:v>
                </c:pt>
                <c:pt idx="30">
                  <c:v>105.43718269698867</c:v>
                </c:pt>
                <c:pt idx="31">
                  <c:v>107.13497113846581</c:v>
                </c:pt>
                <c:pt idx="32">
                  <c:v>107.5778913693581</c:v>
                </c:pt>
                <c:pt idx="33">
                  <c:v>107.02195910703109</c:v>
                </c:pt>
                <c:pt idx="34">
                  <c:v>107.66047708463731</c:v>
                </c:pt>
                <c:pt idx="35">
                  <c:v>107.7339349050699</c:v>
                </c:pt>
                <c:pt idx="36">
                  <c:v>108.99749634884206</c:v>
                </c:pt>
                <c:pt idx="37">
                  <c:v>110.05720147437235</c:v>
                </c:pt>
                <c:pt idx="38">
                  <c:v>107.69959663398009</c:v>
                </c:pt>
                <c:pt idx="39">
                  <c:v>108.45503859795535</c:v>
                </c:pt>
                <c:pt idx="40">
                  <c:v>110.495775088671</c:v>
                </c:pt>
                <c:pt idx="41">
                  <c:v>110.83437652131582</c:v>
                </c:pt>
                <c:pt idx="42">
                  <c:v>112.10619653661591</c:v>
                </c:pt>
                <c:pt idx="43">
                  <c:v>112.46261909729466</c:v>
                </c:pt>
                <c:pt idx="44">
                  <c:v>110.97303359065305</c:v>
                </c:pt>
                <c:pt idx="45">
                  <c:v>109.50126921204534</c:v>
                </c:pt>
                <c:pt idx="46">
                  <c:v>108.72844078169554</c:v>
                </c:pt>
                <c:pt idx="47">
                  <c:v>105.87575631128729</c:v>
                </c:pt>
                <c:pt idx="48">
                  <c:v>105.66320675985811</c:v>
                </c:pt>
                <c:pt idx="49">
                  <c:v>106.37518255789693</c:v>
                </c:pt>
                <c:pt idx="50">
                  <c:v>105.16378051324848</c:v>
                </c:pt>
                <c:pt idx="51">
                  <c:v>105.37633006467766</c:v>
                </c:pt>
                <c:pt idx="52">
                  <c:v>102.83660198901177</c:v>
                </c:pt>
                <c:pt idx="53">
                  <c:v>101.77298490854719</c:v>
                </c:pt>
                <c:pt idx="54">
                  <c:v>101.28659851171848</c:v>
                </c:pt>
                <c:pt idx="55">
                  <c:v>103.27952221990404</c:v>
                </c:pt>
                <c:pt idx="56">
                  <c:v>99.106770290006253</c:v>
                </c:pt>
                <c:pt idx="57">
                  <c:v>99.853519020794224</c:v>
                </c:pt>
                <c:pt idx="58">
                  <c:v>96.666579734334803</c:v>
                </c:pt>
                <c:pt idx="59">
                  <c:v>97.183392447319008</c:v>
                </c:pt>
                <c:pt idx="60">
                  <c:v>97.109499965227059</c:v>
                </c:pt>
                <c:pt idx="61">
                  <c:v>96.7274323666458</c:v>
                </c:pt>
                <c:pt idx="62">
                  <c:v>99.801794283329855</c:v>
                </c:pt>
                <c:pt idx="63">
                  <c:v>103.44860560539675</c:v>
                </c:pt>
                <c:pt idx="64">
                  <c:v>103.92629876903818</c:v>
                </c:pt>
                <c:pt idx="65">
                  <c:v>103.15781695528202</c:v>
                </c:pt>
                <c:pt idx="66">
                  <c:v>102.46757424021142</c:v>
                </c:pt>
                <c:pt idx="67">
                  <c:v>98.998539536824538</c:v>
                </c:pt>
                <c:pt idx="68">
                  <c:v>101.07796091522361</c:v>
                </c:pt>
                <c:pt idx="69">
                  <c:v>100.93495722929273</c:v>
                </c:pt>
                <c:pt idx="70">
                  <c:v>101.26051881215663</c:v>
                </c:pt>
                <c:pt idx="71">
                  <c:v>98.833368106266079</c:v>
                </c:pt>
                <c:pt idx="72">
                  <c:v>98.950726754294465</c:v>
                </c:pt>
                <c:pt idx="73">
                  <c:v>101.11099520133529</c:v>
                </c:pt>
                <c:pt idx="74">
                  <c:v>102.95830725363378</c:v>
                </c:pt>
                <c:pt idx="75">
                  <c:v>104.98383058627165</c:v>
                </c:pt>
                <c:pt idx="76">
                  <c:v>106.31824188052022</c:v>
                </c:pt>
                <c:pt idx="77">
                  <c:v>106.26173586480283</c:v>
                </c:pt>
                <c:pt idx="78">
                  <c:v>106.43560052854859</c:v>
                </c:pt>
                <c:pt idx="79">
                  <c:v>106.85287572153837</c:v>
                </c:pt>
                <c:pt idx="80">
                  <c:v>106.73117045691633</c:v>
                </c:pt>
                <c:pt idx="81">
                  <c:v>107.43619166840533</c:v>
                </c:pt>
                <c:pt idx="82">
                  <c:v>107.37881632936922</c:v>
                </c:pt>
                <c:pt idx="83">
                  <c:v>104.47527644481536</c:v>
                </c:pt>
                <c:pt idx="84">
                  <c:v>103.14521176716045</c:v>
                </c:pt>
                <c:pt idx="85">
                  <c:v>105.1185757006746</c:v>
                </c:pt>
                <c:pt idx="86">
                  <c:v>103.46251477849641</c:v>
                </c:pt>
                <c:pt idx="87">
                  <c:v>102.54972529383129</c:v>
                </c:pt>
                <c:pt idx="88">
                  <c:v>102.46713957855206</c:v>
                </c:pt>
                <c:pt idx="89">
                  <c:v>102.28892829821268</c:v>
                </c:pt>
                <c:pt idx="90">
                  <c:v>103.91456290423535</c:v>
                </c:pt>
                <c:pt idx="91">
                  <c:v>98.876834272202515</c:v>
                </c:pt>
                <c:pt idx="92">
                  <c:v>95.990680854023239</c:v>
                </c:pt>
                <c:pt idx="93">
                  <c:v>94.312886848876829</c:v>
                </c:pt>
                <c:pt idx="94">
                  <c:v>91.139856735517071</c:v>
                </c:pt>
                <c:pt idx="95">
                  <c:v>92.795917657695256</c:v>
                </c:pt>
                <c:pt idx="96">
                  <c:v>93.017595103971075</c:v>
                </c:pt>
                <c:pt idx="97">
                  <c:v>92.448188330203777</c:v>
                </c:pt>
                <c:pt idx="98">
                  <c:v>93.556575561582861</c:v>
                </c:pt>
                <c:pt idx="99">
                  <c:v>93.061061269907512</c:v>
                </c:pt>
                <c:pt idx="100">
                  <c:v>94.873600389456854</c:v>
                </c:pt>
                <c:pt idx="101">
                  <c:v>95.942868071493152</c:v>
                </c:pt>
                <c:pt idx="102">
                  <c:v>97.255546282773494</c:v>
                </c:pt>
                <c:pt idx="103">
                  <c:v>96.29059739898463</c:v>
                </c:pt>
                <c:pt idx="104">
                  <c:v>97.299012448709917</c:v>
                </c:pt>
                <c:pt idx="105">
                  <c:v>94.712775575492046</c:v>
                </c:pt>
                <c:pt idx="106">
                  <c:v>96.551394394603236</c:v>
                </c:pt>
                <c:pt idx="107">
                  <c:v>97.012135753529449</c:v>
                </c:pt>
                <c:pt idx="108">
                  <c:v>97.316398915084491</c:v>
                </c:pt>
                <c:pt idx="109">
                  <c:v>88.318902566242443</c:v>
                </c:pt>
                <c:pt idx="110">
                  <c:v>81.881563391056403</c:v>
                </c:pt>
                <c:pt idx="111">
                  <c:v>78.873704708255104</c:v>
                </c:pt>
                <c:pt idx="112">
                  <c:v>74.944363307601364</c:v>
                </c:pt>
                <c:pt idx="113">
                  <c:v>86.432470964601151</c:v>
                </c:pt>
                <c:pt idx="114">
                  <c:v>82.768273176159681</c:v>
                </c:pt>
                <c:pt idx="115">
                  <c:v>86.128207803046124</c:v>
                </c:pt>
                <c:pt idx="116">
                  <c:v>88.027679254468325</c:v>
                </c:pt>
                <c:pt idx="117">
                  <c:v>87.862507823909866</c:v>
                </c:pt>
                <c:pt idx="118">
                  <c:v>84.441720564712426</c:v>
                </c:pt>
                <c:pt idx="119">
                  <c:v>85.619653661589808</c:v>
                </c:pt>
                <c:pt idx="120">
                  <c:v>83.959246122818001</c:v>
                </c:pt>
                <c:pt idx="121">
                  <c:v>86.819319841435444</c:v>
                </c:pt>
                <c:pt idx="122">
                  <c:v>88.931775505946177</c:v>
                </c:pt>
                <c:pt idx="123">
                  <c:v>90.570449961749773</c:v>
                </c:pt>
                <c:pt idx="124">
                  <c:v>90.965992071771339</c:v>
                </c:pt>
                <c:pt idx="125">
                  <c:v>91.339801098824665</c:v>
                </c:pt>
                <c:pt idx="126">
                  <c:v>91.80488907434453</c:v>
                </c:pt>
                <c:pt idx="127">
                  <c:v>92.365602614924541</c:v>
                </c:pt>
                <c:pt idx="128">
                  <c:v>92.722025175603306</c:v>
                </c:pt>
                <c:pt idx="129">
                  <c:v>89.257771750469445</c:v>
                </c:pt>
                <c:pt idx="130">
                  <c:v>86.449857430975726</c:v>
                </c:pt>
                <c:pt idx="131">
                  <c:v>86.284686000417281</c:v>
                </c:pt>
                <c:pt idx="132">
                  <c:v>85.302350650253842</c:v>
                </c:pt>
                <c:pt idx="133">
                  <c:v>85.841331107865642</c:v>
                </c:pt>
                <c:pt idx="134">
                  <c:v>86.293379233604554</c:v>
                </c:pt>
                <c:pt idx="135">
                  <c:v>91.622331177411496</c:v>
                </c:pt>
                <c:pt idx="136">
                  <c:v>92.552507128451225</c:v>
                </c:pt>
                <c:pt idx="137">
                  <c:v>92.29171013283262</c:v>
                </c:pt>
                <c:pt idx="138">
                  <c:v>91.909207872591963</c:v>
                </c:pt>
                <c:pt idx="139">
                  <c:v>91.826622157312741</c:v>
                </c:pt>
                <c:pt idx="140">
                  <c:v>90.748661242089156</c:v>
                </c:pt>
                <c:pt idx="141">
                  <c:v>89.914110856109602</c:v>
                </c:pt>
                <c:pt idx="142">
                  <c:v>87.840774740941654</c:v>
                </c:pt>
                <c:pt idx="143">
                  <c:v>87.523471729605689</c:v>
                </c:pt>
                <c:pt idx="144">
                  <c:v>84.876382224076792</c:v>
                </c:pt>
                <c:pt idx="145">
                  <c:v>87.023610821336675</c:v>
                </c:pt>
                <c:pt idx="146">
                  <c:v>87.114889769803185</c:v>
                </c:pt>
                <c:pt idx="147">
                  <c:v>86.91059878990194</c:v>
                </c:pt>
                <c:pt idx="148">
                  <c:v>87.301794283329855</c:v>
                </c:pt>
                <c:pt idx="149">
                  <c:v>87.671256693789559</c:v>
                </c:pt>
                <c:pt idx="150">
                  <c:v>88.353675498991592</c:v>
                </c:pt>
                <c:pt idx="151">
                  <c:v>88.158077752277634</c:v>
                </c:pt>
                <c:pt idx="152">
                  <c:v>87.206168718269694</c:v>
                </c:pt>
                <c:pt idx="153">
                  <c:v>88.636205577578409</c:v>
                </c:pt>
                <c:pt idx="154">
                  <c:v>87.56259127894846</c:v>
                </c:pt>
                <c:pt idx="155">
                  <c:v>88.092878503372972</c:v>
                </c:pt>
                <c:pt idx="156">
                  <c:v>86.402044648445653</c:v>
                </c:pt>
                <c:pt idx="157">
                  <c:v>86.584602545378672</c:v>
                </c:pt>
                <c:pt idx="158">
                  <c:v>85.389282982126716</c:v>
                </c:pt>
                <c:pt idx="159">
                  <c:v>86.245566451074481</c:v>
                </c:pt>
                <c:pt idx="160">
                  <c:v>85.037207038041586</c:v>
                </c:pt>
                <c:pt idx="161">
                  <c:v>85.44578899784409</c:v>
                </c:pt>
                <c:pt idx="162">
                  <c:v>87.366993532234517</c:v>
                </c:pt>
                <c:pt idx="163">
                  <c:v>87.584324361916686</c:v>
                </c:pt>
                <c:pt idx="164">
                  <c:v>87.062730370679475</c:v>
                </c:pt>
                <c:pt idx="165">
                  <c:v>87.610404061478548</c:v>
                </c:pt>
                <c:pt idx="166">
                  <c:v>87.366993532234517</c:v>
                </c:pt>
                <c:pt idx="167">
                  <c:v>87.401766464983666</c:v>
                </c:pt>
                <c:pt idx="168">
                  <c:v>89.179532651783845</c:v>
                </c:pt>
                <c:pt idx="169">
                  <c:v>90.331386049099379</c:v>
                </c:pt>
                <c:pt idx="170">
                  <c:v>92.339522915362679</c:v>
                </c:pt>
                <c:pt idx="171">
                  <c:v>92.821997357257118</c:v>
                </c:pt>
                <c:pt idx="172">
                  <c:v>91.257215383545443</c:v>
                </c:pt>
                <c:pt idx="173">
                  <c:v>91.283295083107305</c:v>
                </c:pt>
                <c:pt idx="174">
                  <c:v>91.774462758189017</c:v>
                </c:pt>
                <c:pt idx="175">
                  <c:v>92.326483065581755</c:v>
                </c:pt>
                <c:pt idx="176">
                  <c:v>91.783155991376319</c:v>
                </c:pt>
                <c:pt idx="177">
                  <c:v>90.679115376590872</c:v>
                </c:pt>
                <c:pt idx="178">
                  <c:v>90.892099589679404</c:v>
                </c:pt>
                <c:pt idx="179">
                  <c:v>91.348494332011967</c:v>
                </c:pt>
                <c:pt idx="180">
                  <c:v>91.287641699700956</c:v>
                </c:pt>
                <c:pt idx="181">
                  <c:v>91.791849224563606</c:v>
                </c:pt>
                <c:pt idx="182">
                  <c:v>92.356909381737253</c:v>
                </c:pt>
                <c:pt idx="183">
                  <c:v>93.191459767716808</c:v>
                </c:pt>
                <c:pt idx="184">
                  <c:v>93.082794352875737</c:v>
                </c:pt>
                <c:pt idx="185">
                  <c:v>92.913276305723628</c:v>
                </c:pt>
                <c:pt idx="186">
                  <c:v>92.965435704847337</c:v>
                </c:pt>
                <c:pt idx="187">
                  <c:v>93.039328186939301</c:v>
                </c:pt>
                <c:pt idx="188">
                  <c:v>91.830968773906392</c:v>
                </c:pt>
                <c:pt idx="189">
                  <c:v>90.866019890117542</c:v>
                </c:pt>
                <c:pt idx="190">
                  <c:v>90.222720634258295</c:v>
                </c:pt>
                <c:pt idx="191">
                  <c:v>87.966826622157313</c:v>
                </c:pt>
                <c:pt idx="192">
                  <c:v>88.388448431740727</c:v>
                </c:pt>
                <c:pt idx="193">
                  <c:v>88.201543918214071</c:v>
                </c:pt>
                <c:pt idx="194">
                  <c:v>92.691598859447808</c:v>
                </c:pt>
                <c:pt idx="195">
                  <c:v>95.63860490993811</c:v>
                </c:pt>
                <c:pt idx="196">
                  <c:v>99.689651575213858</c:v>
                </c:pt>
                <c:pt idx="197">
                  <c:v>98.74643577439322</c:v>
                </c:pt>
                <c:pt idx="198">
                  <c:v>99.820050073023154</c:v>
                </c:pt>
                <c:pt idx="199">
                  <c:v>101.41960497948396</c:v>
                </c:pt>
                <c:pt idx="200">
                  <c:v>101.18054106683358</c:v>
                </c:pt>
                <c:pt idx="201">
                  <c:v>100.66329369219001</c:v>
                </c:pt>
                <c:pt idx="202">
                  <c:v>100.35903053063495</c:v>
                </c:pt>
                <c:pt idx="203">
                  <c:v>100.21559218304472</c:v>
                </c:pt>
                <c:pt idx="204">
                  <c:v>98.237881632936919</c:v>
                </c:pt>
                <c:pt idx="205">
                  <c:v>97.755407191042494</c:v>
                </c:pt>
                <c:pt idx="206">
                  <c:v>98.998539536824538</c:v>
                </c:pt>
                <c:pt idx="207">
                  <c:v>98.737742541205932</c:v>
                </c:pt>
                <c:pt idx="208">
                  <c:v>99.672265108839284</c:v>
                </c:pt>
                <c:pt idx="209">
                  <c:v>100.18516586688921</c:v>
                </c:pt>
                <c:pt idx="210">
                  <c:v>101.08491550177344</c:v>
                </c:pt>
                <c:pt idx="211">
                  <c:v>100.90235760484039</c:v>
                </c:pt>
                <c:pt idx="212">
                  <c:v>99.850476389178667</c:v>
                </c:pt>
                <c:pt idx="213">
                  <c:v>103.65376590861675</c:v>
                </c:pt>
                <c:pt idx="214">
                  <c:v>104.22317268238403</c:v>
                </c:pt>
                <c:pt idx="215">
                  <c:v>104.18405313304125</c:v>
                </c:pt>
                <c:pt idx="216">
                  <c:v>103.39731552959176</c:v>
                </c:pt>
                <c:pt idx="217">
                  <c:v>101.86295987203562</c:v>
                </c:pt>
                <c:pt idx="218">
                  <c:v>98.576917727241124</c:v>
                </c:pt>
                <c:pt idx="219">
                  <c:v>99.985221503581613</c:v>
                </c:pt>
                <c:pt idx="220">
                  <c:v>101.74125460741359</c:v>
                </c:pt>
                <c:pt idx="221">
                  <c:v>102.88441477154183</c:v>
                </c:pt>
                <c:pt idx="222">
                  <c:v>103.51467417762015</c:v>
                </c:pt>
                <c:pt idx="223">
                  <c:v>103.87978997148619</c:v>
                </c:pt>
                <c:pt idx="224">
                  <c:v>103.39731552959176</c:v>
                </c:pt>
                <c:pt idx="225">
                  <c:v>106.70943737394811</c:v>
                </c:pt>
                <c:pt idx="226">
                  <c:v>111.30815773002294</c:v>
                </c:pt>
                <c:pt idx="227">
                  <c:v>110.59096599207179</c:v>
                </c:pt>
                <c:pt idx="228">
                  <c:v>109.66948327421935</c:v>
                </c:pt>
                <c:pt idx="229">
                  <c:v>111.65154044092078</c:v>
                </c:pt>
                <c:pt idx="230">
                  <c:v>111.03866750121708</c:v>
                </c:pt>
                <c:pt idx="231">
                  <c:v>110.59096599207179</c:v>
                </c:pt>
                <c:pt idx="232">
                  <c:v>110.67789832394463</c:v>
                </c:pt>
                <c:pt idx="233">
                  <c:v>111.03432088462341</c:v>
                </c:pt>
                <c:pt idx="234">
                  <c:v>111.76455247235553</c:v>
                </c:pt>
                <c:pt idx="235">
                  <c:v>112.1514013491898</c:v>
                </c:pt>
                <c:pt idx="236">
                  <c:v>111.5733013422352</c:v>
                </c:pt>
                <c:pt idx="237">
                  <c:v>111.4820223937687</c:v>
                </c:pt>
                <c:pt idx="238">
                  <c:v>112.16878781556436</c:v>
                </c:pt>
                <c:pt idx="239">
                  <c:v>110.42144794491968</c:v>
                </c:pt>
                <c:pt idx="240">
                  <c:v>106.60946519229432</c:v>
                </c:pt>
                <c:pt idx="241">
                  <c:v>107.64830655817512</c:v>
                </c:pt>
                <c:pt idx="242">
                  <c:v>107.6961193407052</c:v>
                </c:pt>
                <c:pt idx="243">
                  <c:v>108.37853814590723</c:v>
                </c:pt>
                <c:pt idx="244">
                  <c:v>107.5570276097086</c:v>
                </c:pt>
                <c:pt idx="245">
                  <c:v>109.66079004103206</c:v>
                </c:pt>
                <c:pt idx="246">
                  <c:v>113.98567355170736</c:v>
                </c:pt>
                <c:pt idx="247">
                  <c:v>114.21604423117044</c:v>
                </c:pt>
                <c:pt idx="248">
                  <c:v>112.33830586271647</c:v>
                </c:pt>
                <c:pt idx="249">
                  <c:v>112.82947353779818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F-46A2-80C5-735B988773AE}"/>
            </c:ext>
          </c:extLst>
        </c:ser>
        <c:ser>
          <c:idx val="1"/>
          <c:order val="1"/>
          <c:tx>
            <c:strRef>
              <c:f>Calculation!$E$1</c:f>
              <c:strCache>
                <c:ptCount val="1"/>
                <c:pt idx="0">
                  <c:v>XAUUSD_Close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Calculation!$E$2:$E$251</c:f>
            </c:numRef>
          </c:val>
          <c:smooth val="0"/>
          <c:extLst>
            <c:ext xmlns:c16="http://schemas.microsoft.com/office/drawing/2014/chart" uri="{C3380CC4-5D6E-409C-BE32-E72D297353CC}">
              <c16:uniqueId val="{00000001-C42F-46A2-80C5-735B988773AE}"/>
            </c:ext>
          </c:extLst>
        </c:ser>
        <c:ser>
          <c:idx val="2"/>
          <c:order val="2"/>
          <c:tx>
            <c:strRef>
              <c:f>Calculation!$F$1</c:f>
              <c:strCache>
                <c:ptCount val="1"/>
                <c:pt idx="0">
                  <c:v>XAUUSD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Calculation!$F$2:$F$251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100.23940189730571</c:v>
                </c:pt>
                <c:pt idx="2">
                  <c:v>100.22807142583017</c:v>
                </c:pt>
                <c:pt idx="3">
                  <c:v>101.41429868950304</c:v>
                </c:pt>
                <c:pt idx="4">
                  <c:v>101.88615800159724</c:v>
                </c:pt>
                <c:pt idx="5">
                  <c:v>100.37354005961289</c:v>
                </c:pt>
                <c:pt idx="6">
                  <c:v>100.01937145123236</c:v>
                </c:pt>
                <c:pt idx="7">
                  <c:v>100.02558493558993</c:v>
                </c:pt>
                <c:pt idx="8">
                  <c:v>100.29276476296469</c:v>
                </c:pt>
                <c:pt idx="9">
                  <c:v>97.188215578667268</c:v>
                </c:pt>
                <c:pt idx="10">
                  <c:v>98.922691462124249</c:v>
                </c:pt>
                <c:pt idx="11">
                  <c:v>98.142716425711399</c:v>
                </c:pt>
                <c:pt idx="12">
                  <c:v>95.743945964616032</c:v>
                </c:pt>
                <c:pt idx="13">
                  <c:v>94.966712171302106</c:v>
                </c:pt>
                <c:pt idx="14">
                  <c:v>94.040537502946833</c:v>
                </c:pt>
                <c:pt idx="15">
                  <c:v>93.752341478480332</c:v>
                </c:pt>
                <c:pt idx="16">
                  <c:v>93.65292572875947</c:v>
                </c:pt>
                <c:pt idx="17">
                  <c:v>95.463608170366427</c:v>
                </c:pt>
                <c:pt idx="18">
                  <c:v>96.209043543732875</c:v>
                </c:pt>
                <c:pt idx="19">
                  <c:v>96.866941887473786</c:v>
                </c:pt>
                <c:pt idx="20">
                  <c:v>97.576010102394562</c:v>
                </c:pt>
                <c:pt idx="21">
                  <c:v>98.902223513652288</c:v>
                </c:pt>
                <c:pt idx="22">
                  <c:v>95.951914941054127</c:v>
                </c:pt>
                <c:pt idx="23">
                  <c:v>96.244131455399057</c:v>
                </c:pt>
                <c:pt idx="24">
                  <c:v>96.343547205119918</c:v>
                </c:pt>
                <c:pt idx="25">
                  <c:v>96.873886369991055</c:v>
                </c:pt>
                <c:pt idx="26">
                  <c:v>96.45740016849507</c:v>
                </c:pt>
                <c:pt idx="27">
                  <c:v>96.625712494768791</c:v>
                </c:pt>
                <c:pt idx="28">
                  <c:v>96.860728403116241</c:v>
                </c:pt>
                <c:pt idx="29">
                  <c:v>96.198809569496916</c:v>
                </c:pt>
                <c:pt idx="30">
                  <c:v>96.198809569496916</c:v>
                </c:pt>
                <c:pt idx="31">
                  <c:v>97.237192455367989</c:v>
                </c:pt>
                <c:pt idx="32">
                  <c:v>98.463441868285102</c:v>
                </c:pt>
                <c:pt idx="33">
                  <c:v>99.347401392916993</c:v>
                </c:pt>
                <c:pt idx="34">
                  <c:v>97.985369071833347</c:v>
                </c:pt>
                <c:pt idx="35">
                  <c:v>96.773922371650428</c:v>
                </c:pt>
                <c:pt idx="36">
                  <c:v>96.956854661118385</c:v>
                </c:pt>
                <c:pt idx="37">
                  <c:v>96.734082971946123</c:v>
                </c:pt>
                <c:pt idx="38">
                  <c:v>94.493939111508283</c:v>
                </c:pt>
                <c:pt idx="39">
                  <c:v>94.820878038439531</c:v>
                </c:pt>
                <c:pt idx="40">
                  <c:v>95.873698137964936</c:v>
                </c:pt>
                <c:pt idx="41">
                  <c:v>95.502899321450968</c:v>
                </c:pt>
                <c:pt idx="42">
                  <c:v>95.621138273784396</c:v>
                </c:pt>
                <c:pt idx="43">
                  <c:v>96.264964902950851</c:v>
                </c:pt>
                <c:pt idx="44">
                  <c:v>95.598294581293388</c:v>
                </c:pt>
                <c:pt idx="45">
                  <c:v>95.247780963711421</c:v>
                </c:pt>
                <c:pt idx="46">
                  <c:v>95.928340250403423</c:v>
                </c:pt>
                <c:pt idx="47">
                  <c:v>97.150020924822329</c:v>
                </c:pt>
                <c:pt idx="48">
                  <c:v>96.4281602421066</c:v>
                </c:pt>
                <c:pt idx="49">
                  <c:v>96.348664192237905</c:v>
                </c:pt>
                <c:pt idx="50">
                  <c:v>96.811020528255824</c:v>
                </c:pt>
                <c:pt idx="51">
                  <c:v>97.299510048483441</c:v>
                </c:pt>
                <c:pt idx="52">
                  <c:v>98.341913424232942</c:v>
                </c:pt>
                <c:pt idx="53">
                  <c:v>97.334049711529843</c:v>
                </c:pt>
                <c:pt idx="54">
                  <c:v>97.857261644343808</c:v>
                </c:pt>
                <c:pt idx="55">
                  <c:v>98.557740630887963</c:v>
                </c:pt>
                <c:pt idx="56">
                  <c:v>99.221486959906571</c:v>
                </c:pt>
                <c:pt idx="57">
                  <c:v>98.716367231545476</c:v>
                </c:pt>
                <c:pt idx="58">
                  <c:v>100.32255293797296</c:v>
                </c:pt>
                <c:pt idx="59">
                  <c:v>100.74269413026751</c:v>
                </c:pt>
                <c:pt idx="60">
                  <c:v>100.69079326092798</c:v>
                </c:pt>
                <c:pt idx="61">
                  <c:v>101.28363276845451</c:v>
                </c:pt>
                <c:pt idx="62">
                  <c:v>100.18073929498881</c:v>
                </c:pt>
                <c:pt idx="63">
                  <c:v>101.01992518233835</c:v>
                </c:pt>
                <c:pt idx="64">
                  <c:v>100.86385707523979</c:v>
                </c:pt>
                <c:pt idx="65">
                  <c:v>102.12757014384218</c:v>
                </c:pt>
                <c:pt idx="66">
                  <c:v>102.38652624192019</c:v>
                </c:pt>
                <c:pt idx="67">
                  <c:v>102.88799097948271</c:v>
                </c:pt>
                <c:pt idx="68">
                  <c:v>103.89603744172572</c:v>
                </c:pt>
                <c:pt idx="69">
                  <c:v>104.77652472509899</c:v>
                </c:pt>
                <c:pt idx="70">
                  <c:v>104.38781645367207</c:v>
                </c:pt>
                <c:pt idx="71">
                  <c:v>104.55667702856559</c:v>
                </c:pt>
                <c:pt idx="72">
                  <c:v>106.28877716800346</c:v>
                </c:pt>
                <c:pt idx="73">
                  <c:v>105.90628238093409</c:v>
                </c:pt>
                <c:pt idx="74">
                  <c:v>106.13764329848298</c:v>
                </c:pt>
                <c:pt idx="75">
                  <c:v>107.02324756897423</c:v>
                </c:pt>
                <c:pt idx="76">
                  <c:v>105.45233252375286</c:v>
                </c:pt>
                <c:pt idx="77">
                  <c:v>107.28457941107132</c:v>
                </c:pt>
                <c:pt idx="78">
                  <c:v>107.19868712730516</c:v>
                </c:pt>
                <c:pt idx="79">
                  <c:v>107.44485075758823</c:v>
                </c:pt>
                <c:pt idx="80">
                  <c:v>107.27105594511666</c:v>
                </c:pt>
                <c:pt idx="81">
                  <c:v>107.92310630357989</c:v>
                </c:pt>
                <c:pt idx="82">
                  <c:v>106.54279902850344</c:v>
                </c:pt>
                <c:pt idx="83">
                  <c:v>106.59342065106352</c:v>
                </c:pt>
                <c:pt idx="84">
                  <c:v>105.15664376814931</c:v>
                </c:pt>
                <c:pt idx="85">
                  <c:v>104.34797705396777</c:v>
                </c:pt>
                <c:pt idx="86">
                  <c:v>105.73230481892261</c:v>
                </c:pt>
                <c:pt idx="87">
                  <c:v>106.65226600292033</c:v>
                </c:pt>
                <c:pt idx="88">
                  <c:v>106.69539489434334</c:v>
                </c:pt>
                <c:pt idx="89">
                  <c:v>106.40189913321892</c:v>
                </c:pt>
                <c:pt idx="90">
                  <c:v>106.33684029700454</c:v>
                </c:pt>
                <c:pt idx="91">
                  <c:v>105.44575354031547</c:v>
                </c:pt>
                <c:pt idx="92">
                  <c:v>106.63472204708727</c:v>
                </c:pt>
                <c:pt idx="93">
                  <c:v>107.38947764699</c:v>
                </c:pt>
                <c:pt idx="94">
                  <c:v>109.18645387310238</c:v>
                </c:pt>
                <c:pt idx="95">
                  <c:v>109.1031200828952</c:v>
                </c:pt>
                <c:pt idx="96">
                  <c:v>109.66014068059582</c:v>
                </c:pt>
                <c:pt idx="97">
                  <c:v>110.91252327772266</c:v>
                </c:pt>
                <c:pt idx="98">
                  <c:v>111.48489483677724</c:v>
                </c:pt>
                <c:pt idx="99">
                  <c:v>111.32407524164056</c:v>
                </c:pt>
                <c:pt idx="100">
                  <c:v>110.5210737631968</c:v>
                </c:pt>
                <c:pt idx="101">
                  <c:v>110.07224089313354</c:v>
                </c:pt>
                <c:pt idx="102">
                  <c:v>110.43262298587162</c:v>
                </c:pt>
                <c:pt idx="103">
                  <c:v>110.35586817910186</c:v>
                </c:pt>
                <c:pt idx="104">
                  <c:v>111.66800987578513</c:v>
                </c:pt>
                <c:pt idx="105">
                  <c:v>112.76560361259288</c:v>
                </c:pt>
                <c:pt idx="106">
                  <c:v>114.15541386374559</c:v>
                </c:pt>
                <c:pt idx="107">
                  <c:v>113.82957143405392</c:v>
                </c:pt>
                <c:pt idx="108">
                  <c:v>114.6046122328887</c:v>
                </c:pt>
                <c:pt idx="109">
                  <c:v>113.84327764954851</c:v>
                </c:pt>
                <c:pt idx="110">
                  <c:v>110.97959235887625</c:v>
                </c:pt>
                <c:pt idx="111">
                  <c:v>109.03696474944124</c:v>
                </c:pt>
                <c:pt idx="112">
                  <c:v>109.02234478624699</c:v>
                </c:pt>
                <c:pt idx="113">
                  <c:v>112.68117332514616</c:v>
                </c:pt>
                <c:pt idx="114">
                  <c:v>116.06807054863239</c:v>
                </c:pt>
                <c:pt idx="115">
                  <c:v>118.09202170333535</c:v>
                </c:pt>
                <c:pt idx="116">
                  <c:v>117.35097231892718</c:v>
                </c:pt>
                <c:pt idx="117">
                  <c:v>118.05857853752852</c:v>
                </c:pt>
                <c:pt idx="118">
                  <c:v>122.18835264082222</c:v>
                </c:pt>
                <c:pt idx="119">
                  <c:v>121.61488458452806</c:v>
                </c:pt>
                <c:pt idx="120">
                  <c:v>125.16168765545133</c:v>
                </c:pt>
                <c:pt idx="121">
                  <c:v>123.58108688461375</c:v>
                </c:pt>
                <c:pt idx="122">
                  <c:v>120.1881589263099</c:v>
                </c:pt>
                <c:pt idx="123">
                  <c:v>122.42738903904808</c:v>
                </c:pt>
                <c:pt idx="124">
                  <c:v>120.79689764381018</c:v>
                </c:pt>
                <c:pt idx="125">
                  <c:v>122.21868906445027</c:v>
                </c:pt>
                <c:pt idx="126">
                  <c:v>121.2449995157137</c:v>
                </c:pt>
                <c:pt idx="127">
                  <c:v>120.19071741986889</c:v>
                </c:pt>
                <c:pt idx="128">
                  <c:v>118.38332446998064</c:v>
                </c:pt>
                <c:pt idx="129">
                  <c:v>118.19034095581664</c:v>
                </c:pt>
                <c:pt idx="130">
                  <c:v>121.85428648183378</c:v>
                </c:pt>
                <c:pt idx="131">
                  <c:v>125.43069497822539</c:v>
                </c:pt>
                <c:pt idx="132">
                  <c:v>122.97161716895377</c:v>
                </c:pt>
                <c:pt idx="133">
                  <c:v>120.81608634550263</c:v>
                </c:pt>
                <c:pt idx="134">
                  <c:v>121.67263343914532</c:v>
                </c:pt>
                <c:pt idx="135">
                  <c:v>118.27239549924433</c:v>
                </c:pt>
                <c:pt idx="136">
                  <c:v>118.79542468251836</c:v>
                </c:pt>
                <c:pt idx="137">
                  <c:v>116.1384291215047</c:v>
                </c:pt>
                <c:pt idx="138">
                  <c:v>118.41548838900798</c:v>
                </c:pt>
                <c:pt idx="139">
                  <c:v>116.6841192477298</c:v>
                </c:pt>
                <c:pt idx="140">
                  <c:v>118.047248066053</c:v>
                </c:pt>
                <c:pt idx="141">
                  <c:v>120.24864902402608</c:v>
                </c:pt>
                <c:pt idx="142">
                  <c:v>121.17866143271982</c:v>
                </c:pt>
                <c:pt idx="143">
                  <c:v>120.42262658603755</c:v>
                </c:pt>
                <c:pt idx="144">
                  <c:v>122.84095124790522</c:v>
                </c:pt>
                <c:pt idx="145">
                  <c:v>120.64046403763177</c:v>
                </c:pt>
                <c:pt idx="146">
                  <c:v>120.15873625038149</c:v>
                </c:pt>
                <c:pt idx="147">
                  <c:v>121.26236072200686</c:v>
                </c:pt>
                <c:pt idx="148">
                  <c:v>120.4281090722354</c:v>
                </c:pt>
                <c:pt idx="149">
                  <c:v>123.59789984228713</c:v>
                </c:pt>
                <c:pt idx="150">
                  <c:v>122.5682889343326</c:v>
                </c:pt>
                <c:pt idx="151">
                  <c:v>123.27169191351561</c:v>
                </c:pt>
                <c:pt idx="152">
                  <c:v>122.54526249230166</c:v>
                </c:pt>
                <c:pt idx="153">
                  <c:v>121.06919445830296</c:v>
                </c:pt>
                <c:pt idx="154">
                  <c:v>121.55274974095252</c:v>
                </c:pt>
                <c:pt idx="155">
                  <c:v>121.46356796546765</c:v>
                </c:pt>
                <c:pt idx="156">
                  <c:v>122.6276825348092</c:v>
                </c:pt>
                <c:pt idx="157">
                  <c:v>123.75360245030582</c:v>
                </c:pt>
                <c:pt idx="158">
                  <c:v>125.45865565783438</c:v>
                </c:pt>
                <c:pt idx="159">
                  <c:v>123.73021050919503</c:v>
                </c:pt>
                <c:pt idx="160">
                  <c:v>123.85411469726624</c:v>
                </c:pt>
                <c:pt idx="161">
                  <c:v>123.15162546578289</c:v>
                </c:pt>
                <c:pt idx="162">
                  <c:v>123.00743607877966</c:v>
                </c:pt>
                <c:pt idx="163">
                  <c:v>123.12768527605232</c:v>
                </c:pt>
                <c:pt idx="164">
                  <c:v>121.49317339093597</c:v>
                </c:pt>
                <c:pt idx="165">
                  <c:v>121.79507563089709</c:v>
                </c:pt>
                <c:pt idx="166">
                  <c:v>121.63462153484028</c:v>
                </c:pt>
                <c:pt idx="167">
                  <c:v>119.5596832584974</c:v>
                </c:pt>
                <c:pt idx="168">
                  <c:v>120.72617357185804</c:v>
                </c:pt>
                <c:pt idx="169">
                  <c:v>122.02278155764743</c:v>
                </c:pt>
                <c:pt idx="170">
                  <c:v>122.7227122955718</c:v>
                </c:pt>
                <c:pt idx="171">
                  <c:v>121.56883170046619</c:v>
                </c:pt>
                <c:pt idx="172">
                  <c:v>121.96576370118987</c:v>
                </c:pt>
                <c:pt idx="173">
                  <c:v>120.67335895481884</c:v>
                </c:pt>
                <c:pt idx="174">
                  <c:v>121.11488184328496</c:v>
                </c:pt>
                <c:pt idx="175">
                  <c:v>121.49353889001584</c:v>
                </c:pt>
                <c:pt idx="176">
                  <c:v>122.6777559087495</c:v>
                </c:pt>
                <c:pt idx="177">
                  <c:v>122.20480009941575</c:v>
                </c:pt>
                <c:pt idx="178">
                  <c:v>121.49134589553671</c:v>
                </c:pt>
                <c:pt idx="179">
                  <c:v>122.35355822491715</c:v>
                </c:pt>
                <c:pt idx="180">
                  <c:v>122.04763549507763</c:v>
                </c:pt>
                <c:pt idx="181">
                  <c:v>122.37987415866681</c:v>
                </c:pt>
                <c:pt idx="182">
                  <c:v>124.16497166468383</c:v>
                </c:pt>
                <c:pt idx="183">
                  <c:v>125.42996398006568</c:v>
                </c:pt>
                <c:pt idx="184">
                  <c:v>123.80422407286589</c:v>
                </c:pt>
                <c:pt idx="185">
                  <c:v>123.12293378801418</c:v>
                </c:pt>
                <c:pt idx="186">
                  <c:v>121.98659714874167</c:v>
                </c:pt>
                <c:pt idx="187">
                  <c:v>121.14923875679142</c:v>
                </c:pt>
                <c:pt idx="188">
                  <c:v>121.58747215353884</c:v>
                </c:pt>
                <c:pt idx="189">
                  <c:v>119.71995460501428</c:v>
                </c:pt>
                <c:pt idx="190">
                  <c:v>120.24864902402608</c:v>
                </c:pt>
                <c:pt idx="191">
                  <c:v>122.70151334894013</c:v>
                </c:pt>
                <c:pt idx="192">
                  <c:v>123.30860732058106</c:v>
                </c:pt>
                <c:pt idx="193">
                  <c:v>123.57140115899759</c:v>
                </c:pt>
                <c:pt idx="194">
                  <c:v>123.14998071992352</c:v>
                </c:pt>
                <c:pt idx="195">
                  <c:v>124.18854635533457</c:v>
                </c:pt>
                <c:pt idx="196">
                  <c:v>124.21504503862411</c:v>
                </c:pt>
                <c:pt idx="197">
                  <c:v>122.17263618038841</c:v>
                </c:pt>
                <c:pt idx="198">
                  <c:v>122.37658466694809</c:v>
                </c:pt>
                <c:pt idx="199">
                  <c:v>122.66130845015597</c:v>
                </c:pt>
                <c:pt idx="200">
                  <c:v>121.91349733277046</c:v>
                </c:pt>
                <c:pt idx="201">
                  <c:v>122.04507700151865</c:v>
                </c:pt>
                <c:pt idx="202">
                  <c:v>121.81773657384818</c:v>
                </c:pt>
                <c:pt idx="203">
                  <c:v>121.19583988947306</c:v>
                </c:pt>
                <c:pt idx="204">
                  <c:v>122.38791513842362</c:v>
                </c:pt>
                <c:pt idx="205">
                  <c:v>122.0428840070395</c:v>
                </c:pt>
                <c:pt idx="206">
                  <c:v>123.29142886382782</c:v>
                </c:pt>
                <c:pt idx="207">
                  <c:v>123.01876655025521</c:v>
                </c:pt>
                <c:pt idx="208">
                  <c:v>124.03887448213349</c:v>
                </c:pt>
                <c:pt idx="209">
                  <c:v>124.17739863339894</c:v>
                </c:pt>
                <c:pt idx="210">
                  <c:v>124.87696387224344</c:v>
                </c:pt>
                <c:pt idx="211">
                  <c:v>126.18325758364904</c:v>
                </c:pt>
                <c:pt idx="212">
                  <c:v>129.13539365164647</c:v>
                </c:pt>
                <c:pt idx="213">
                  <c:v>130.10323521510534</c:v>
                </c:pt>
                <c:pt idx="214">
                  <c:v>129.60432897110181</c:v>
                </c:pt>
                <c:pt idx="215">
                  <c:v>131.38540598724043</c:v>
                </c:pt>
                <c:pt idx="216">
                  <c:v>132.89619643382545</c:v>
                </c:pt>
                <c:pt idx="217">
                  <c:v>132.53033185488957</c:v>
                </c:pt>
                <c:pt idx="218">
                  <c:v>133.06743275273806</c:v>
                </c:pt>
                <c:pt idx="219">
                  <c:v>132.82364486647404</c:v>
                </c:pt>
                <c:pt idx="220">
                  <c:v>133.19462643252794</c:v>
                </c:pt>
                <c:pt idx="221">
                  <c:v>134.47606620650333</c:v>
                </c:pt>
                <c:pt idx="222">
                  <c:v>134.86203323483133</c:v>
                </c:pt>
                <c:pt idx="223">
                  <c:v>133.75987075952537</c:v>
                </c:pt>
                <c:pt idx="224">
                  <c:v>133.20522590584378</c:v>
                </c:pt>
                <c:pt idx="225">
                  <c:v>134.66612572802848</c:v>
                </c:pt>
                <c:pt idx="226">
                  <c:v>136.93423026807528</c:v>
                </c:pt>
                <c:pt idx="227">
                  <c:v>137.59870759525361</c:v>
                </c:pt>
                <c:pt idx="228">
                  <c:v>136.55539047180449</c:v>
                </c:pt>
                <c:pt idx="229">
                  <c:v>137.0393112535339</c:v>
                </c:pt>
                <c:pt idx="230">
                  <c:v>137.67308665800434</c:v>
                </c:pt>
                <c:pt idx="231">
                  <c:v>140.11261026650365</c:v>
                </c:pt>
                <c:pt idx="232">
                  <c:v>141.03586094222007</c:v>
                </c:pt>
                <c:pt idx="233">
                  <c:v>141.29262404581894</c:v>
                </c:pt>
                <c:pt idx="234">
                  <c:v>140.9585578868305</c:v>
                </c:pt>
                <c:pt idx="235">
                  <c:v>142.0302011889685</c:v>
                </c:pt>
                <c:pt idx="236">
                  <c:v>144.73964586794153</c:v>
                </c:pt>
                <c:pt idx="237">
                  <c:v>145.64571808690471</c:v>
                </c:pt>
                <c:pt idx="238">
                  <c:v>147.6985436689163</c:v>
                </c:pt>
                <c:pt idx="239">
                  <c:v>145.36117705323676</c:v>
                </c:pt>
                <c:pt idx="240">
                  <c:v>146.58980221017293</c:v>
                </c:pt>
                <c:pt idx="241">
                  <c:v>150.22852829967999</c:v>
                </c:pt>
                <c:pt idx="242">
                  <c:v>151.38898787822299</c:v>
                </c:pt>
                <c:pt idx="243">
                  <c:v>153.80384029883206</c:v>
                </c:pt>
                <c:pt idx="244">
                  <c:v>158.19092575434442</c:v>
                </c:pt>
                <c:pt idx="245">
                  <c:v>154.43743295376254</c:v>
                </c:pt>
                <c:pt idx="246">
                  <c:v>159.21395767886153</c:v>
                </c:pt>
                <c:pt idx="247">
                  <c:v>150.76179145718999</c:v>
                </c:pt>
                <c:pt idx="248">
                  <c:v>149.79394989373114</c:v>
                </c:pt>
                <c:pt idx="249">
                  <c:v>150.82940878696337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2F-46A2-80C5-735B988773AE}"/>
            </c:ext>
          </c:extLst>
        </c:ser>
        <c:ser>
          <c:idx val="3"/>
          <c:order val="3"/>
          <c:tx>
            <c:strRef>
              <c:f>Calculation!$G$1</c:f>
              <c:strCache>
                <c:ptCount val="1"/>
                <c:pt idx="0">
                  <c:v>BTCUSD_Close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Calculation!$G$2:$G$251</c:f>
            </c:numRef>
          </c:val>
          <c:smooth val="0"/>
          <c:extLst>
            <c:ext xmlns:c16="http://schemas.microsoft.com/office/drawing/2014/chart" uri="{C3380CC4-5D6E-409C-BE32-E72D297353CC}">
              <c16:uniqueId val="{00000003-C42F-46A2-80C5-735B988773AE}"/>
            </c:ext>
          </c:extLst>
        </c:ser>
        <c:ser>
          <c:idx val="4"/>
          <c:order val="4"/>
          <c:tx>
            <c:strRef>
              <c:f>Calculation!$H$1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Calculation!$H$2:$H$251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97.774732675122678</c:v>
                </c:pt>
                <c:pt idx="2">
                  <c:v>102.35190260356278</c:v>
                </c:pt>
                <c:pt idx="3">
                  <c:v>106.31038965602053</c:v>
                </c:pt>
                <c:pt idx="4">
                  <c:v>105.95581087570127</c:v>
                </c:pt>
                <c:pt idx="5">
                  <c:v>103.02387477600928</c:v>
                </c:pt>
                <c:pt idx="6">
                  <c:v>101.29738941006994</c:v>
                </c:pt>
                <c:pt idx="7">
                  <c:v>99.383659510675429</c:v>
                </c:pt>
                <c:pt idx="8">
                  <c:v>101.87332372954805</c:v>
                </c:pt>
                <c:pt idx="9">
                  <c:v>110.80089127812329</c:v>
                </c:pt>
                <c:pt idx="10">
                  <c:v>111.12897180937658</c:v>
                </c:pt>
                <c:pt idx="11">
                  <c:v>112.25551339259572</c:v>
                </c:pt>
                <c:pt idx="12">
                  <c:v>129.04164177880844</c:v>
                </c:pt>
                <c:pt idx="13">
                  <c:v>129.76573205439024</c:v>
                </c:pt>
                <c:pt idx="14">
                  <c:v>131.44463769134373</c:v>
                </c:pt>
                <c:pt idx="15">
                  <c:v>128.41915252450724</c:v>
                </c:pt>
                <c:pt idx="16">
                  <c:v>133.63798999800898</c:v>
                </c:pt>
                <c:pt idx="17">
                  <c:v>133.57342796575432</c:v>
                </c:pt>
                <c:pt idx="18">
                  <c:v>134.60246770434398</c:v>
                </c:pt>
                <c:pt idx="19">
                  <c:v>137.94578546080604</c:v>
                </c:pt>
                <c:pt idx="20">
                  <c:v>144.09645362660018</c:v>
                </c:pt>
                <c:pt idx="21">
                  <c:v>145.21274726819158</c:v>
                </c:pt>
                <c:pt idx="22">
                  <c:v>138.16187062998489</c:v>
                </c:pt>
                <c:pt idx="23">
                  <c:v>134.32840846538539</c:v>
                </c:pt>
                <c:pt idx="24">
                  <c:v>140.73717836103208</c:v>
                </c:pt>
                <c:pt idx="25">
                  <c:v>142.55443120995986</c:v>
                </c:pt>
                <c:pt idx="26">
                  <c:v>139.6737348184065</c:v>
                </c:pt>
                <c:pt idx="27">
                  <c:v>140.76426220676248</c:v>
                </c:pt>
                <c:pt idx="28">
                  <c:v>143.92926577890213</c:v>
                </c:pt>
                <c:pt idx="29">
                  <c:v>141.62347891266413</c:v>
                </c:pt>
                <c:pt idx="30">
                  <c:v>148.62004146024387</c:v>
                </c:pt>
                <c:pt idx="31">
                  <c:v>141.99723598374385</c:v>
                </c:pt>
                <c:pt idx="32">
                  <c:v>141.85815677593899</c:v>
                </c:pt>
                <c:pt idx="33">
                  <c:v>148.23208367005142</c:v>
                </c:pt>
                <c:pt idx="34">
                  <c:v>147.08285021608518</c:v>
                </c:pt>
                <c:pt idx="35">
                  <c:v>148.78693650960966</c:v>
                </c:pt>
                <c:pt idx="36">
                  <c:v>154.95473337783869</c:v>
                </c:pt>
                <c:pt idx="37">
                  <c:v>155.15676422707099</c:v>
                </c:pt>
                <c:pt idx="38">
                  <c:v>148.02419685417473</c:v>
                </c:pt>
                <c:pt idx="39">
                  <c:v>143.79208976025672</c:v>
                </c:pt>
                <c:pt idx="40">
                  <c:v>141.14841361863603</c:v>
                </c:pt>
                <c:pt idx="41">
                  <c:v>139.15211458955531</c:v>
                </c:pt>
                <c:pt idx="42">
                  <c:v>144.50461450171582</c:v>
                </c:pt>
                <c:pt idx="43">
                  <c:v>140.11629949755806</c:v>
                </c:pt>
                <c:pt idx="44">
                  <c:v>138.34721197428061</c:v>
                </c:pt>
                <c:pt idx="45">
                  <c:v>135.58231732312055</c:v>
                </c:pt>
                <c:pt idx="46">
                  <c:v>136.61340665003573</c:v>
                </c:pt>
                <c:pt idx="47">
                  <c:v>141.73327828724689</c:v>
                </c:pt>
                <c:pt idx="48">
                  <c:v>143.91506505978944</c:v>
                </c:pt>
                <c:pt idx="49">
                  <c:v>149.38717309066209</c:v>
                </c:pt>
                <c:pt idx="50">
                  <c:v>142.19575325298948</c:v>
                </c:pt>
                <c:pt idx="51">
                  <c:v>139.46218802337705</c:v>
                </c:pt>
                <c:pt idx="52">
                  <c:v>138.51747420446694</c:v>
                </c:pt>
                <c:pt idx="53">
                  <c:v>138.1435707342211</c:v>
                </c:pt>
                <c:pt idx="54">
                  <c:v>141.5510113254395</c:v>
                </c:pt>
                <c:pt idx="55">
                  <c:v>145.97285173863654</c:v>
                </c:pt>
                <c:pt idx="56">
                  <c:v>146.13608680884954</c:v>
                </c:pt>
                <c:pt idx="57">
                  <c:v>153.35019851726926</c:v>
                </c:pt>
                <c:pt idx="58">
                  <c:v>155.20214796856519</c:v>
                </c:pt>
                <c:pt idx="59">
                  <c:v>151.96672639752646</c:v>
                </c:pt>
                <c:pt idx="60">
                  <c:v>152.24927678811943</c:v>
                </c:pt>
                <c:pt idx="61">
                  <c:v>153.74840424908942</c:v>
                </c:pt>
                <c:pt idx="62">
                  <c:v>148.75180070974318</c:v>
                </c:pt>
                <c:pt idx="63">
                  <c:v>148.15449211201295</c:v>
                </c:pt>
                <c:pt idx="64">
                  <c:v>151.50556902427886</c:v>
                </c:pt>
                <c:pt idx="65">
                  <c:v>153.89333942353866</c:v>
                </c:pt>
                <c:pt idx="66">
                  <c:v>148.73716079313212</c:v>
                </c:pt>
                <c:pt idx="67">
                  <c:v>148.90991180914236</c:v>
                </c:pt>
                <c:pt idx="68">
                  <c:v>143.01529578487524</c:v>
                </c:pt>
                <c:pt idx="69">
                  <c:v>141.27914807397258</c:v>
                </c:pt>
                <c:pt idx="70">
                  <c:v>141.92696438401086</c:v>
                </c:pt>
                <c:pt idx="71">
                  <c:v>140.42534813721704</c:v>
                </c:pt>
                <c:pt idx="72">
                  <c:v>142.63363315882555</c:v>
                </c:pt>
                <c:pt idx="73">
                  <c:v>139.86595692350937</c:v>
                </c:pt>
                <c:pt idx="74">
                  <c:v>143.20415070915757</c:v>
                </c:pt>
                <c:pt idx="75">
                  <c:v>141.07082206059755</c:v>
                </c:pt>
                <c:pt idx="76">
                  <c:v>142.23176744785263</c:v>
                </c:pt>
                <c:pt idx="77">
                  <c:v>139.4702399775131</c:v>
                </c:pt>
                <c:pt idx="78">
                  <c:v>141.3158942646663</c:v>
                </c:pt>
                <c:pt idx="79">
                  <c:v>143.69048873897617</c:v>
                </c:pt>
                <c:pt idx="80">
                  <c:v>139.28972980569904</c:v>
                </c:pt>
                <c:pt idx="81">
                  <c:v>135.32787557242077</c:v>
                </c:pt>
                <c:pt idx="82">
                  <c:v>129.88431537893962</c:v>
                </c:pt>
                <c:pt idx="83">
                  <c:v>123.2969385006383</c:v>
                </c:pt>
                <c:pt idx="84">
                  <c:v>123.86028249183094</c:v>
                </c:pt>
                <c:pt idx="85">
                  <c:v>123.16312966281346</c:v>
                </c:pt>
                <c:pt idx="86">
                  <c:v>126.74478526170316</c:v>
                </c:pt>
                <c:pt idx="87">
                  <c:v>128.03617230596254</c:v>
                </c:pt>
                <c:pt idx="88">
                  <c:v>132.413507372662</c:v>
                </c:pt>
                <c:pt idx="89">
                  <c:v>132.19478701849314</c:v>
                </c:pt>
                <c:pt idx="90">
                  <c:v>128.3988030404179</c:v>
                </c:pt>
                <c:pt idx="91">
                  <c:v>116.31896864715461</c:v>
                </c:pt>
                <c:pt idx="92">
                  <c:v>121.67483574013562</c:v>
                </c:pt>
                <c:pt idx="93">
                  <c:v>122.44006418139442</c:v>
                </c:pt>
                <c:pt idx="94">
                  <c:v>119.11372872820118</c:v>
                </c:pt>
                <c:pt idx="95">
                  <c:v>123.19109190354052</c:v>
                </c:pt>
                <c:pt idx="96">
                  <c:v>123.05655106988512</c:v>
                </c:pt>
                <c:pt idx="97">
                  <c:v>120.5892859234274</c:v>
                </c:pt>
                <c:pt idx="98">
                  <c:v>126.12127121323917</c:v>
                </c:pt>
                <c:pt idx="99">
                  <c:v>123.11130435801039</c:v>
                </c:pt>
                <c:pt idx="100">
                  <c:v>123.22534930841036</c:v>
                </c:pt>
                <c:pt idx="101">
                  <c:v>128.00703887190659</c:v>
                </c:pt>
                <c:pt idx="102">
                  <c:v>128.08872960659619</c:v>
                </c:pt>
                <c:pt idx="103">
                  <c:v>127.1243982994273</c:v>
                </c:pt>
                <c:pt idx="104">
                  <c:v>127.88743075319444</c:v>
                </c:pt>
                <c:pt idx="105">
                  <c:v>122.62672311818513</c:v>
                </c:pt>
                <c:pt idx="106">
                  <c:v>120.80727428176571</c:v>
                </c:pt>
                <c:pt idx="107">
                  <c:v>124.69783212114827</c:v>
                </c:pt>
                <c:pt idx="108">
                  <c:v>124.13536652495227</c:v>
                </c:pt>
                <c:pt idx="109">
                  <c:v>121.05498167082442</c:v>
                </c:pt>
                <c:pt idx="110">
                  <c:v>122.99960179426822</c:v>
                </c:pt>
                <c:pt idx="111">
                  <c:v>115.93759881943714</c:v>
                </c:pt>
                <c:pt idx="112">
                  <c:v>112.7516601665437</c:v>
                </c:pt>
                <c:pt idx="113">
                  <c:v>121.91800475504493</c:v>
                </c:pt>
                <c:pt idx="114">
                  <c:v>116.63958282093627</c:v>
                </c:pt>
                <c:pt idx="115">
                  <c:v>122.78395582258766</c:v>
                </c:pt>
                <c:pt idx="116">
                  <c:v>124.03127671784785</c:v>
                </c:pt>
                <c:pt idx="117">
                  <c:v>123.28551936568171</c:v>
                </c:pt>
                <c:pt idx="118">
                  <c:v>123.72310647318554</c:v>
                </c:pt>
                <c:pt idx="119">
                  <c:v>124.54191700924073</c:v>
                </c:pt>
                <c:pt idx="120">
                  <c:v>127.78363374442219</c:v>
                </c:pt>
                <c:pt idx="121">
                  <c:v>136.16615719756862</c:v>
                </c:pt>
                <c:pt idx="122">
                  <c:v>136.90342339810033</c:v>
                </c:pt>
                <c:pt idx="123">
                  <c:v>136.7104692971669</c:v>
                </c:pt>
                <c:pt idx="124">
                  <c:v>139.56730262464424</c:v>
                </c:pt>
                <c:pt idx="125">
                  <c:v>138.40738203155198</c:v>
                </c:pt>
                <c:pt idx="126">
                  <c:v>138.67880608552053</c:v>
                </c:pt>
                <c:pt idx="127">
                  <c:v>138.20095920733638</c:v>
                </c:pt>
                <c:pt idx="128">
                  <c:v>141.20960847007015</c:v>
                </c:pt>
                <c:pt idx="129">
                  <c:v>141.9132028623965</c:v>
                </c:pt>
                <c:pt idx="130">
                  <c:v>138.58701380836936</c:v>
                </c:pt>
                <c:pt idx="131">
                  <c:v>138.61058407411312</c:v>
                </c:pt>
                <c:pt idx="132">
                  <c:v>142.1847733155312</c:v>
                </c:pt>
                <c:pt idx="133">
                  <c:v>150.46613494489534</c:v>
                </c:pt>
                <c:pt idx="134">
                  <c:v>151.06051555930338</c:v>
                </c:pt>
                <c:pt idx="135">
                  <c:v>150.03279341320871</c:v>
                </c:pt>
                <c:pt idx="136">
                  <c:v>152.75581790286122</c:v>
                </c:pt>
                <c:pt idx="137">
                  <c:v>151.6929599569001</c:v>
                </c:pt>
                <c:pt idx="138">
                  <c:v>151.21277069205814</c:v>
                </c:pt>
                <c:pt idx="139">
                  <c:v>152.14386938851999</c:v>
                </c:pt>
                <c:pt idx="140">
                  <c:v>154.41305646323039</c:v>
                </c:pt>
                <c:pt idx="141">
                  <c:v>156.08932691519391</c:v>
                </c:pt>
                <c:pt idx="142">
                  <c:v>158.77867959664101</c:v>
                </c:pt>
                <c:pt idx="143">
                  <c:v>162.30982748322268</c:v>
                </c:pt>
                <c:pt idx="144">
                  <c:v>159.13003759530585</c:v>
                </c:pt>
                <c:pt idx="145">
                  <c:v>159.38623613599898</c:v>
                </c:pt>
                <c:pt idx="146">
                  <c:v>157.44059121839243</c:v>
                </c:pt>
                <c:pt idx="147">
                  <c:v>155.79945656629542</c:v>
                </c:pt>
                <c:pt idx="148">
                  <c:v>153.11010388484829</c:v>
                </c:pt>
                <c:pt idx="149">
                  <c:v>153.64885281613437</c:v>
                </c:pt>
                <c:pt idx="150">
                  <c:v>154.38524062166942</c:v>
                </c:pt>
                <c:pt idx="151">
                  <c:v>153.69423655762859</c:v>
                </c:pt>
                <c:pt idx="152">
                  <c:v>148.76936860967643</c:v>
                </c:pt>
                <c:pt idx="153">
                  <c:v>152.6987222280782</c:v>
                </c:pt>
                <c:pt idx="154">
                  <c:v>160.96149116334635</c:v>
                </c:pt>
                <c:pt idx="155">
                  <c:v>160.91903540517433</c:v>
                </c:pt>
                <c:pt idx="156">
                  <c:v>158.91775880444587</c:v>
                </c:pt>
                <c:pt idx="157">
                  <c:v>155.14066031879884</c:v>
                </c:pt>
                <c:pt idx="158">
                  <c:v>154.082194347821</c:v>
                </c:pt>
                <c:pt idx="159">
                  <c:v>158.94118267102354</c:v>
                </c:pt>
                <c:pt idx="160">
                  <c:v>153.10278392654277</c:v>
                </c:pt>
                <c:pt idx="161">
                  <c:v>153.87430753194431</c:v>
                </c:pt>
                <c:pt idx="162">
                  <c:v>151.43090544956257</c:v>
                </c:pt>
                <c:pt idx="163">
                  <c:v>151.94476652260991</c:v>
                </c:pt>
                <c:pt idx="164">
                  <c:v>155.33683520138669</c:v>
                </c:pt>
                <c:pt idx="165">
                  <c:v>157.63823009264141</c:v>
                </c:pt>
                <c:pt idx="166">
                  <c:v>156.80229085415132</c:v>
                </c:pt>
                <c:pt idx="167">
                  <c:v>156.47582071372523</c:v>
                </c:pt>
                <c:pt idx="168">
                  <c:v>156.90037829544525</c:v>
                </c:pt>
                <c:pt idx="169">
                  <c:v>154.90202967803896</c:v>
                </c:pt>
                <c:pt idx="170">
                  <c:v>160.30123092418867</c:v>
                </c:pt>
                <c:pt idx="171">
                  <c:v>160.83997985547475</c:v>
                </c:pt>
                <c:pt idx="172">
                  <c:v>158.43464155628172</c:v>
                </c:pt>
                <c:pt idx="173">
                  <c:v>159.42869189417098</c:v>
                </c:pt>
                <c:pt idx="174">
                  <c:v>162.29372357495052</c:v>
                </c:pt>
                <c:pt idx="175">
                  <c:v>170.52867666865771</c:v>
                </c:pt>
                <c:pt idx="176">
                  <c:v>172.79200777672372</c:v>
                </c:pt>
                <c:pt idx="177">
                  <c:v>175.73023904055844</c:v>
                </c:pt>
                <c:pt idx="178">
                  <c:v>172.08929177939405</c:v>
                </c:pt>
                <c:pt idx="179">
                  <c:v>174.72008479439702</c:v>
                </c:pt>
                <c:pt idx="180">
                  <c:v>176.16797254722837</c:v>
                </c:pt>
                <c:pt idx="181">
                  <c:v>171.92678870501155</c:v>
                </c:pt>
                <c:pt idx="182">
                  <c:v>171.6881580642517</c:v>
                </c:pt>
                <c:pt idx="183">
                  <c:v>174.85184404389634</c:v>
                </c:pt>
                <c:pt idx="184">
                  <c:v>172.92669500954526</c:v>
                </c:pt>
                <c:pt idx="185">
                  <c:v>173.62648302355271</c:v>
                </c:pt>
                <c:pt idx="186">
                  <c:v>170.93273836712228</c:v>
                </c:pt>
                <c:pt idx="187">
                  <c:v>172.92376702622303</c:v>
                </c:pt>
                <c:pt idx="188">
                  <c:v>172.1624913624492</c:v>
                </c:pt>
                <c:pt idx="189">
                  <c:v>171.74818172235692</c:v>
                </c:pt>
                <c:pt idx="190">
                  <c:v>170.62090814330725</c:v>
                </c:pt>
                <c:pt idx="191">
                  <c:v>165.85561528641534</c:v>
                </c:pt>
                <c:pt idx="192">
                  <c:v>168.51276015131819</c:v>
                </c:pt>
                <c:pt idx="193">
                  <c:v>166.31823665132407</c:v>
                </c:pt>
                <c:pt idx="194">
                  <c:v>168.48055233477393</c:v>
                </c:pt>
                <c:pt idx="195">
                  <c:v>171.50955108159704</c:v>
                </c:pt>
                <c:pt idx="196">
                  <c:v>170.53014066031881</c:v>
                </c:pt>
                <c:pt idx="197">
                  <c:v>173.81094597285175</c:v>
                </c:pt>
                <c:pt idx="198">
                  <c:v>175.53699214129276</c:v>
                </c:pt>
                <c:pt idx="199">
                  <c:v>179.45463382640574</c:v>
                </c:pt>
                <c:pt idx="200">
                  <c:v>172.72027218532963</c:v>
                </c:pt>
                <c:pt idx="201">
                  <c:v>171.24896056592064</c:v>
                </c:pt>
                <c:pt idx="202">
                  <c:v>170.87564269233923</c:v>
                </c:pt>
                <c:pt idx="203">
                  <c:v>166.06057411896984</c:v>
                </c:pt>
                <c:pt idx="204">
                  <c:v>167.46600611362919</c:v>
                </c:pt>
                <c:pt idx="205">
                  <c:v>164.87327688181489</c:v>
                </c:pt>
                <c:pt idx="206">
                  <c:v>170.72631554290669</c:v>
                </c:pt>
                <c:pt idx="207">
                  <c:v>160.89121956361339</c:v>
                </c:pt>
                <c:pt idx="208">
                  <c:v>163.39171732077816</c:v>
                </c:pt>
                <c:pt idx="209">
                  <c:v>163.30680580443416</c:v>
                </c:pt>
                <c:pt idx="210">
                  <c:v>164.03587365166371</c:v>
                </c:pt>
                <c:pt idx="211">
                  <c:v>158.40096974807634</c:v>
                </c:pt>
                <c:pt idx="212">
                  <c:v>162.79294473138683</c:v>
                </c:pt>
                <c:pt idx="213">
                  <c:v>164.01684176006935</c:v>
                </c:pt>
                <c:pt idx="214">
                  <c:v>161.80328636848088</c:v>
                </c:pt>
                <c:pt idx="215">
                  <c:v>163.50298068702202</c:v>
                </c:pt>
                <c:pt idx="216">
                  <c:v>164.47653514165586</c:v>
                </c:pt>
                <c:pt idx="217">
                  <c:v>162.97447969736365</c:v>
                </c:pt>
                <c:pt idx="218">
                  <c:v>166.7179063748053</c:v>
                </c:pt>
                <c:pt idx="219">
                  <c:v>167.68414087113362</c:v>
                </c:pt>
                <c:pt idx="220">
                  <c:v>170.71899558460117</c:v>
                </c:pt>
                <c:pt idx="221">
                  <c:v>169.18180434044251</c:v>
                </c:pt>
                <c:pt idx="222">
                  <c:v>171.0630336249605</c:v>
                </c:pt>
                <c:pt idx="223">
                  <c:v>169.96357588747176</c:v>
                </c:pt>
                <c:pt idx="224">
                  <c:v>171.80966937212327</c:v>
                </c:pt>
                <c:pt idx="225">
                  <c:v>168.66647927573405</c:v>
                </c:pt>
                <c:pt idx="226">
                  <c:v>165.50279329608938</c:v>
                </c:pt>
                <c:pt idx="227">
                  <c:v>164.28475223405127</c:v>
                </c:pt>
                <c:pt idx="228">
                  <c:v>166.02690231076446</c:v>
                </c:pt>
                <c:pt idx="229">
                  <c:v>160.25877516601668</c:v>
                </c:pt>
                <c:pt idx="230">
                  <c:v>159.90156120070742</c:v>
                </c:pt>
                <c:pt idx="231">
                  <c:v>167.28739913097456</c:v>
                </c:pt>
                <c:pt idx="232">
                  <c:v>167.23469543117483</c:v>
                </c:pt>
                <c:pt idx="233">
                  <c:v>172.21958703723226</c:v>
                </c:pt>
                <c:pt idx="234">
                  <c:v>176.03914128105126</c:v>
                </c:pt>
                <c:pt idx="235">
                  <c:v>179.60103299251608</c:v>
                </c:pt>
                <c:pt idx="236">
                  <c:v>183.25222819530822</c:v>
                </c:pt>
                <c:pt idx="237">
                  <c:v>178.75484581239826</c:v>
                </c:pt>
                <c:pt idx="238">
                  <c:v>180.54237963060564</c:v>
                </c:pt>
                <c:pt idx="239">
                  <c:v>177.92476254055259</c:v>
                </c:pt>
                <c:pt idx="240">
                  <c:v>170.96641017532767</c:v>
                </c:pt>
                <c:pt idx="241">
                  <c:v>169.53609032242954</c:v>
                </c:pt>
                <c:pt idx="242">
                  <c:v>165.71800007027161</c:v>
                </c:pt>
                <c:pt idx="243">
                  <c:v>162.33617933312254</c:v>
                </c:pt>
                <c:pt idx="244">
                  <c:v>158.82406333813523</c:v>
                </c:pt>
                <c:pt idx="245">
                  <c:v>155.88583207430051</c:v>
                </c:pt>
                <c:pt idx="246">
                  <c:v>161.92772565967465</c:v>
                </c:pt>
                <c:pt idx="247">
                  <c:v>162.40205895787219</c:v>
                </c:pt>
                <c:pt idx="248">
                  <c:v>156.98528981178924</c:v>
                </c:pt>
                <c:pt idx="249">
                  <c:v>160.4403101319935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2F-46A2-80C5-735B988773AE}"/>
            </c:ext>
          </c:extLst>
        </c:ser>
        <c:ser>
          <c:idx val="5"/>
          <c:order val="5"/>
          <c:tx>
            <c:strRef>
              <c:f>Calculation!$I$1</c:f>
              <c:strCache>
                <c:ptCount val="1"/>
                <c:pt idx="0">
                  <c:v>Portfolio_return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Calculation!$I$2:$I$251</c:f>
            </c:numRef>
          </c:val>
          <c:smooth val="0"/>
          <c:extLst>
            <c:ext xmlns:c16="http://schemas.microsoft.com/office/drawing/2014/chart" uri="{C3380CC4-5D6E-409C-BE32-E72D297353CC}">
              <c16:uniqueId val="{00000005-C42F-46A2-80C5-735B988773AE}"/>
            </c:ext>
          </c:extLst>
        </c:ser>
        <c:ser>
          <c:idx val="6"/>
          <c:order val="6"/>
          <c:tx>
            <c:strRef>
              <c:f>Calculation!$J$1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>
                  <a:alpha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Calculation!$J$2:$J$251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99.537454502623277</c:v>
                </c:pt>
                <c:pt idx="2">
                  <c:v>101.18756945124295</c:v>
                </c:pt>
                <c:pt idx="3">
                  <c:v>102.87583343797435</c:v>
                </c:pt>
                <c:pt idx="4">
                  <c:v>102.49286197115411</c:v>
                </c:pt>
                <c:pt idx="5">
                  <c:v>100.47344981948712</c:v>
                </c:pt>
                <c:pt idx="6">
                  <c:v>99.426164482139399</c:v>
                </c:pt>
                <c:pt idx="7">
                  <c:v>98.744694469484259</c:v>
                </c:pt>
                <c:pt idx="8">
                  <c:v>99.784460364703122</c:v>
                </c:pt>
                <c:pt idx="9">
                  <c:v>101.07454401654033</c:v>
                </c:pt>
                <c:pt idx="10">
                  <c:v>102.53384015311713</c:v>
                </c:pt>
                <c:pt idx="11">
                  <c:v>102.48582953874858</c:v>
                </c:pt>
                <c:pt idx="12">
                  <c:v>105.7115996591595</c:v>
                </c:pt>
                <c:pt idx="13">
                  <c:v>105.54629340685527</c:v>
                </c:pt>
                <c:pt idx="14">
                  <c:v>105.66989365185069</c:v>
                </c:pt>
                <c:pt idx="15">
                  <c:v>105.24714425923976</c:v>
                </c:pt>
                <c:pt idx="16">
                  <c:v>106.04022456901322</c:v>
                </c:pt>
                <c:pt idx="17">
                  <c:v>107.27196028229086</c:v>
                </c:pt>
                <c:pt idx="18">
                  <c:v>107.89153565122169</c:v>
                </c:pt>
                <c:pt idx="19">
                  <c:v>109.09266586344087</c:v>
                </c:pt>
                <c:pt idx="20">
                  <c:v>110.8028111786758</c:v>
                </c:pt>
                <c:pt idx="21">
                  <c:v>111.85916091721307</c:v>
                </c:pt>
                <c:pt idx="22">
                  <c:v>109.33287274481491</c:v>
                </c:pt>
                <c:pt idx="23">
                  <c:v>108.86450946236087</c:v>
                </c:pt>
                <c:pt idx="24">
                  <c:v>110.44957652863404</c:v>
                </c:pt>
                <c:pt idx="25">
                  <c:v>111.45907017261679</c:v>
                </c:pt>
                <c:pt idx="26">
                  <c:v>110.9101769270646</c:v>
                </c:pt>
                <c:pt idx="27">
                  <c:v>111.67238209764682</c:v>
                </c:pt>
                <c:pt idx="28">
                  <c:v>112.58391413905463</c:v>
                </c:pt>
                <c:pt idx="29">
                  <c:v>111.73925398781203</c:v>
                </c:pt>
                <c:pt idx="30">
                  <c:v>113.36769984251082</c:v>
                </c:pt>
                <c:pt idx="31">
                  <c:v>112.88926164134688</c:v>
                </c:pt>
                <c:pt idx="32">
                  <c:v>113.56555824782944</c:v>
                </c:pt>
                <c:pt idx="33">
                  <c:v>115.3281193278326</c:v>
                </c:pt>
                <c:pt idx="34">
                  <c:v>114.63385244066468</c:v>
                </c:pt>
                <c:pt idx="35">
                  <c:v>114.48884548094762</c:v>
                </c:pt>
                <c:pt idx="36">
                  <c:v>116.40205134546689</c:v>
                </c:pt>
                <c:pt idx="37">
                  <c:v>116.68010946382326</c:v>
                </c:pt>
                <c:pt idx="38">
                  <c:v>113.24030851479506</c:v>
                </c:pt>
                <c:pt idx="39">
                  <c:v>112.66403618605273</c:v>
                </c:pt>
                <c:pt idx="40">
                  <c:v>113.17897923695755</c:v>
                </c:pt>
                <c:pt idx="41">
                  <c:v>112.62771905885018</c:v>
                </c:pt>
                <c:pt idx="42">
                  <c:v>114.37088579242817</c:v>
                </c:pt>
                <c:pt idx="43">
                  <c:v>113.74603658614004</c:v>
                </c:pt>
                <c:pt idx="44">
                  <c:v>112.54812578756086</c:v>
                </c:pt>
                <c:pt idx="45">
                  <c:v>111.26047685628865</c:v>
                </c:pt>
                <c:pt idx="46">
                  <c:v>111.59672974962268</c:v>
                </c:pt>
                <c:pt idx="47">
                  <c:v>112.5415331121979</c:v>
                </c:pt>
                <c:pt idx="48">
                  <c:v>112.65898970920694</c:v>
                </c:pt>
                <c:pt idx="49">
                  <c:v>114.13466914154517</c:v>
                </c:pt>
                <c:pt idx="50">
                  <c:v>112.31550713310736</c:v>
                </c:pt>
                <c:pt idx="51">
                  <c:v>111.96255263328666</c:v>
                </c:pt>
                <c:pt idx="52">
                  <c:v>111.40528073573007</c:v>
                </c:pt>
                <c:pt idx="53">
                  <c:v>110.51269493421194</c:v>
                </c:pt>
                <c:pt idx="54">
                  <c:v>111.40963939970055</c:v>
                </c:pt>
                <c:pt idx="55">
                  <c:v>113.43034754824629</c:v>
                </c:pt>
                <c:pt idx="56">
                  <c:v>112.39910250199863</c:v>
                </c:pt>
                <c:pt idx="57">
                  <c:v>114.08889016570521</c:v>
                </c:pt>
                <c:pt idx="58">
                  <c:v>114.15237184750026</c:v>
                </c:pt>
                <c:pt idx="59">
                  <c:v>113.81278160767849</c:v>
                </c:pt>
                <c:pt idx="60">
                  <c:v>113.82685025281594</c:v>
                </c:pt>
                <c:pt idx="61">
                  <c:v>114.2968104768013</c:v>
                </c:pt>
                <c:pt idx="62">
                  <c:v>113.77446200846583</c:v>
                </c:pt>
                <c:pt idx="63">
                  <c:v>115.26584129027476</c:v>
                </c:pt>
                <c:pt idx="64">
                  <c:v>116.13644146147045</c:v>
                </c:pt>
                <c:pt idx="65">
                  <c:v>117.0099381824075</c:v>
                </c:pt>
                <c:pt idx="66">
                  <c:v>115.71761491148904</c:v>
                </c:pt>
                <c:pt idx="67">
                  <c:v>114.80935367016222</c:v>
                </c:pt>
                <c:pt idx="68">
                  <c:v>114.6193258903397</c:v>
                </c:pt>
                <c:pt idx="69">
                  <c:v>114.54179325507597</c:v>
                </c:pt>
                <c:pt idx="70">
                  <c:v>114.64021846438222</c:v>
                </c:pt>
                <c:pt idx="71">
                  <c:v>113.52616535047625</c:v>
                </c:pt>
                <c:pt idx="72">
                  <c:v>114.85446601940477</c:v>
                </c:pt>
                <c:pt idx="73">
                  <c:v>114.77278668640405</c:v>
                </c:pt>
                <c:pt idx="74">
                  <c:v>116.32394119177553</c:v>
                </c:pt>
                <c:pt idx="75">
                  <c:v>116.8788536372136</c:v>
                </c:pt>
                <c:pt idx="76">
                  <c:v>116.92686085979203</c:v>
                </c:pt>
                <c:pt idx="77">
                  <c:v>117.03980025247776</c:v>
                </c:pt>
                <c:pt idx="78">
                  <c:v>117.52441674534732</c:v>
                </c:pt>
                <c:pt idx="79">
                  <c:v>118.36303588384187</c:v>
                </c:pt>
                <c:pt idx="80">
                  <c:v>117.15849004804886</c:v>
                </c:pt>
                <c:pt idx="81">
                  <c:v>116.67580965085682</c:v>
                </c:pt>
                <c:pt idx="82">
                  <c:v>114.65223155572441</c:v>
                </c:pt>
                <c:pt idx="83">
                  <c:v>111.99950298123849</c:v>
                </c:pt>
                <c:pt idx="84">
                  <c:v>111.12140604067787</c:v>
                </c:pt>
                <c:pt idx="85">
                  <c:v>111.22974512037898</c:v>
                </c:pt>
                <c:pt idx="86">
                  <c:v>112.2646813551267</c:v>
                </c:pt>
                <c:pt idx="87">
                  <c:v>112.70142227838464</c:v>
                </c:pt>
                <c:pt idx="88">
                  <c:v>113.84834393587725</c:v>
                </c:pt>
                <c:pt idx="89">
                  <c:v>113.60725715784417</c:v>
                </c:pt>
                <c:pt idx="90">
                  <c:v>113.14245248945997</c:v>
                </c:pt>
                <c:pt idx="91">
                  <c:v>107.92432567667974</c:v>
                </c:pt>
                <c:pt idx="92">
                  <c:v>108.95682044205901</c:v>
                </c:pt>
                <c:pt idx="93">
                  <c:v>108.89954228449916</c:v>
                </c:pt>
                <c:pt idx="94">
                  <c:v>107.64176272618977</c:v>
                </c:pt>
                <c:pt idx="95">
                  <c:v>109.30107409327589</c:v>
                </c:pt>
                <c:pt idx="96">
                  <c:v>109.56680709566479</c:v>
                </c:pt>
                <c:pt idx="97">
                  <c:v>109.20708060669418</c:v>
                </c:pt>
                <c:pt idx="98">
                  <c:v>111.32825244659288</c:v>
                </c:pt>
                <c:pt idx="99">
                  <c:v>110.29004633332768</c:v>
                </c:pt>
                <c:pt idx="100">
                  <c:v>110.64691136656226</c:v>
                </c:pt>
                <c:pt idx="101">
                  <c:v>112.12936290987446</c:v>
                </c:pt>
                <c:pt idx="102">
                  <c:v>112.75791913834327</c:v>
                </c:pt>
                <c:pt idx="103">
                  <c:v>112.13626926704352</c:v>
                </c:pt>
                <c:pt idx="104">
                  <c:v>113.22382282173805</c:v>
                </c:pt>
                <c:pt idx="105">
                  <c:v>111.36886623439993</c:v>
                </c:pt>
                <c:pt idx="106">
                  <c:v>112.07076766518844</c:v>
                </c:pt>
                <c:pt idx="107">
                  <c:v>113.18601115994478</c:v>
                </c:pt>
                <c:pt idx="108">
                  <c:v>113.44760970634235</c:v>
                </c:pt>
                <c:pt idx="109">
                  <c:v>109.15492135206738</c:v>
                </c:pt>
                <c:pt idx="110">
                  <c:v>106.19585124879323</c:v>
                </c:pt>
                <c:pt idx="111">
                  <c:v>102.45282145380934</c:v>
                </c:pt>
                <c:pt idx="112">
                  <c:v>100.07150982388318</c:v>
                </c:pt>
                <c:pt idx="113">
                  <c:v>108.45747373691636</c:v>
                </c:pt>
                <c:pt idx="114">
                  <c:v>106.97338010282748</c:v>
                </c:pt>
                <c:pt idx="115">
                  <c:v>110.71283533832549</c:v>
                </c:pt>
                <c:pt idx="116">
                  <c:v>111.50484446844547</c:v>
                </c:pt>
                <c:pt idx="117">
                  <c:v>111.50988752980598</c:v>
                </c:pt>
                <c:pt idx="118">
                  <c:v>111.88646514176173</c:v>
                </c:pt>
                <c:pt idx="119">
                  <c:v>112.36679365161405</c:v>
                </c:pt>
                <c:pt idx="120">
                  <c:v>113.90133913426962</c:v>
                </c:pt>
                <c:pt idx="121">
                  <c:v>116.73155095041054</c:v>
                </c:pt>
                <c:pt idx="122">
                  <c:v>116.4912937776207</c:v>
                </c:pt>
                <c:pt idx="123">
                  <c:v>117.95412725805704</c:v>
                </c:pt>
                <c:pt idx="124">
                  <c:v>118.21976543410553</c:v>
                </c:pt>
                <c:pt idx="125">
                  <c:v>118.62733844124813</c:v>
                </c:pt>
                <c:pt idx="126">
                  <c:v>118.50030708616693</c:v>
                </c:pt>
                <c:pt idx="127">
                  <c:v>118.18277357895121</c:v>
                </c:pt>
                <c:pt idx="128">
                  <c:v>118.38056367231549</c:v>
                </c:pt>
                <c:pt idx="129">
                  <c:v>117.15345572955164</c:v>
                </c:pt>
                <c:pt idx="130">
                  <c:v>116.6767757226613</c:v>
                </c:pt>
                <c:pt idx="131">
                  <c:v>117.98563162836111</c:v>
                </c:pt>
                <c:pt idx="132">
                  <c:v>117.57011876704092</c:v>
                </c:pt>
                <c:pt idx="133">
                  <c:v>119.02295214820495</c:v>
                </c:pt>
                <c:pt idx="134">
                  <c:v>119.68957308498794</c:v>
                </c:pt>
                <c:pt idx="135">
                  <c:v>120.32474613585764</c:v>
                </c:pt>
                <c:pt idx="136">
                  <c:v>121.55921074377801</c:v>
                </c:pt>
                <c:pt idx="137">
                  <c:v>120.11518793055788</c:v>
                </c:pt>
                <c:pt idx="138">
                  <c:v>120.79378608862514</c:v>
                </c:pt>
                <c:pt idx="139">
                  <c:v>120.27790478728427</c:v>
                </c:pt>
                <c:pt idx="140">
                  <c:v>120.95453804212534</c:v>
                </c:pt>
                <c:pt idx="141">
                  <c:v>121.91700126118799</c:v>
                </c:pt>
                <c:pt idx="142">
                  <c:v>122.08095296889039</c:v>
                </c:pt>
                <c:pt idx="143">
                  <c:v>122.45849448986463</c:v>
                </c:pt>
                <c:pt idx="144">
                  <c:v>121.61135486623574</c:v>
                </c:pt>
                <c:pt idx="145">
                  <c:v>121.7216768725242</c:v>
                </c:pt>
                <c:pt idx="146">
                  <c:v>121.11980003996118</c:v>
                </c:pt>
                <c:pt idx="147">
                  <c:v>121.10081033101194</c:v>
                </c:pt>
                <c:pt idx="148">
                  <c:v>120.30396197630172</c:v>
                </c:pt>
                <c:pt idx="149">
                  <c:v>121.85030378791723</c:v>
                </c:pt>
                <c:pt idx="150">
                  <c:v>121.90401791169728</c:v>
                </c:pt>
                <c:pt idx="151">
                  <c:v>121.93920578132926</c:v>
                </c:pt>
                <c:pt idx="152">
                  <c:v>120.0845743719274</c:v>
                </c:pt>
                <c:pt idx="153">
                  <c:v>121.04827527799596</c:v>
                </c:pt>
                <c:pt idx="154">
                  <c:v>122.7668354010314</c:v>
                </c:pt>
                <c:pt idx="155">
                  <c:v>122.94413818933842</c:v>
                </c:pt>
                <c:pt idx="156">
                  <c:v>122.24883172331373</c:v>
                </c:pt>
                <c:pt idx="157">
                  <c:v>121.90362825583286</c:v>
                </c:pt>
                <c:pt idx="158">
                  <c:v>121.82107146317297</c:v>
                </c:pt>
                <c:pt idx="159">
                  <c:v>122.66871556361413</c:v>
                </c:pt>
                <c:pt idx="160">
                  <c:v>120.85045042349768</c:v>
                </c:pt>
                <c:pt idx="161">
                  <c:v>120.93316474093238</c:v>
                </c:pt>
                <c:pt idx="162">
                  <c:v>121.11616707722712</c:v>
                </c:pt>
                <c:pt idx="163">
                  <c:v>121.3772099971865</c:v>
                </c:pt>
                <c:pt idx="164">
                  <c:v>121.3287479594558</c:v>
                </c:pt>
                <c:pt idx="165">
                  <c:v>122.2175775933181</c:v>
                </c:pt>
                <c:pt idx="166">
                  <c:v>121.85687296427929</c:v>
                </c:pt>
                <c:pt idx="167">
                  <c:v>120.96381757824795</c:v>
                </c:pt>
                <c:pt idx="168">
                  <c:v>122.27248206357184</c:v>
                </c:pt>
                <c:pt idx="169">
                  <c:v>122.80436000991726</c:v>
                </c:pt>
                <c:pt idx="170">
                  <c:v>125.18926190239652</c:v>
                </c:pt>
                <c:pt idx="171">
                  <c:v>125.0408903001571</c:v>
                </c:pt>
                <c:pt idx="172">
                  <c:v>124.01083002126192</c:v>
                </c:pt>
                <c:pt idx="173">
                  <c:v>123.72925252922033</c:v>
                </c:pt>
                <c:pt idx="174">
                  <c:v>124.7771061699672</c:v>
                </c:pt>
                <c:pt idx="175">
                  <c:v>127.05770411043602</c:v>
                </c:pt>
                <c:pt idx="176">
                  <c:v>127.83467997058493</c:v>
                </c:pt>
                <c:pt idx="177">
                  <c:v>127.82836315948606</c:v>
                </c:pt>
                <c:pt idx="178">
                  <c:v>126.82537956535313</c:v>
                </c:pt>
                <c:pt idx="179">
                  <c:v>127.9581023190801</c:v>
                </c:pt>
                <c:pt idx="180">
                  <c:v>128.12266860811937</c:v>
                </c:pt>
                <c:pt idx="181">
                  <c:v>127.54912355176167</c:v>
                </c:pt>
                <c:pt idx="182">
                  <c:v>128.47576585131492</c:v>
                </c:pt>
                <c:pt idx="183">
                  <c:v>130.05783205129038</c:v>
                </c:pt>
                <c:pt idx="184">
                  <c:v>128.90845900524221</c:v>
                </c:pt>
                <c:pt idx="185">
                  <c:v>128.71077629899139</c:v>
                </c:pt>
                <c:pt idx="186">
                  <c:v>127.65822082712393</c:v>
                </c:pt>
                <c:pt idx="187">
                  <c:v>127.78423477273901</c:v>
                </c:pt>
                <c:pt idx="188">
                  <c:v>127.30247820771247</c:v>
                </c:pt>
                <c:pt idx="189">
                  <c:v>126.02714948997911</c:v>
                </c:pt>
                <c:pt idx="190">
                  <c:v>125.73394551369294</c:v>
                </c:pt>
                <c:pt idx="191">
                  <c:v>124.76321481688794</c:v>
                </c:pt>
                <c:pt idx="192">
                  <c:v>125.78917150399371</c:v>
                </c:pt>
                <c:pt idx="193">
                  <c:v>125.32516460596712</c:v>
                </c:pt>
                <c:pt idx="194">
                  <c:v>127.55698204755504</c:v>
                </c:pt>
                <c:pt idx="195">
                  <c:v>129.89190435754281</c:v>
                </c:pt>
                <c:pt idx="196">
                  <c:v>131.33104807146447</c:v>
                </c:pt>
                <c:pt idx="197">
                  <c:v>130.85250289038228</c:v>
                </c:pt>
                <c:pt idx="198">
                  <c:v>131.756516781106</c:v>
                </c:pt>
                <c:pt idx="199">
                  <c:v>133.3946950313485</c:v>
                </c:pt>
                <c:pt idx="200">
                  <c:v>131.47330187838742</c:v>
                </c:pt>
                <c:pt idx="201">
                  <c:v>130.99244332491858</c:v>
                </c:pt>
                <c:pt idx="202">
                  <c:v>130.69039184025442</c:v>
                </c:pt>
                <c:pt idx="203">
                  <c:v>129.26266878478873</c:v>
                </c:pt>
                <c:pt idx="204">
                  <c:v>129.33415360444425</c:v>
                </c:pt>
                <c:pt idx="205">
                  <c:v>128.39703881465925</c:v>
                </c:pt>
                <c:pt idx="206">
                  <c:v>130.77973451916085</c:v>
                </c:pt>
                <c:pt idx="207">
                  <c:v>128.30052598849826</c:v>
                </c:pt>
                <c:pt idx="208">
                  <c:v>129.688582339568</c:v>
                </c:pt>
                <c:pt idx="209">
                  <c:v>129.92650506698877</c:v>
                </c:pt>
                <c:pt idx="210">
                  <c:v>130.74335560324678</c:v>
                </c:pt>
                <c:pt idx="211">
                  <c:v>129.8722081704386</c:v>
                </c:pt>
                <c:pt idx="212">
                  <c:v>131.76170724710246</c:v>
                </c:pt>
                <c:pt idx="213">
                  <c:v>133.95953250246185</c:v>
                </c:pt>
                <c:pt idx="214">
                  <c:v>133.43244957539275</c:v>
                </c:pt>
                <c:pt idx="215">
                  <c:v>134.5713987053297</c:v>
                </c:pt>
                <c:pt idx="216">
                  <c:v>135.12589318798189</c:v>
                </c:pt>
                <c:pt idx="217">
                  <c:v>134.00533061889968</c:v>
                </c:pt>
                <c:pt idx="218">
                  <c:v>133.84908770644458</c:v>
                </c:pt>
                <c:pt idx="219">
                  <c:v>134.55738571967589</c:v>
                </c:pt>
                <c:pt idx="220">
                  <c:v>136.14727341408909</c:v>
                </c:pt>
                <c:pt idx="221">
                  <c:v>136.76236549101296</c:v>
                </c:pt>
                <c:pt idx="222">
                  <c:v>137.6269364936615</c:v>
                </c:pt>
                <c:pt idx="223">
                  <c:v>137.05729677504877</c:v>
                </c:pt>
                <c:pt idx="224">
                  <c:v>137.08560156043421</c:v>
                </c:pt>
                <c:pt idx="225">
                  <c:v>138.25198345808104</c:v>
                </c:pt>
                <c:pt idx="226">
                  <c:v>140.19284394316512</c:v>
                </c:pt>
                <c:pt idx="227">
                  <c:v>139.88443787891666</c:v>
                </c:pt>
                <c:pt idx="228">
                  <c:v>139.55552813678088</c:v>
                </c:pt>
                <c:pt idx="229">
                  <c:v>139.05546889476474</c:v>
                </c:pt>
                <c:pt idx="230">
                  <c:v>138.99073388240194</c:v>
                </c:pt>
                <c:pt idx="231">
                  <c:v>141.73375249433286</c:v>
                </c:pt>
                <c:pt idx="232">
                  <c:v>142.12735358675008</c:v>
                </c:pt>
                <c:pt idx="233">
                  <c:v>143.63911340292739</c:v>
                </c:pt>
                <c:pt idx="234">
                  <c:v>144.74237168475338</c:v>
                </c:pt>
                <c:pt idx="235">
                  <c:v>146.21142834787457</c:v>
                </c:pt>
                <c:pt idx="236">
                  <c:v>147.99273200329932</c:v>
                </c:pt>
                <c:pt idx="237">
                  <c:v>147.23737165971053</c:v>
                </c:pt>
                <c:pt idx="238">
                  <c:v>148.7812929022208</c:v>
                </c:pt>
                <c:pt idx="239">
                  <c:v>146.49705054212032</c:v>
                </c:pt>
                <c:pt idx="240">
                  <c:v>143.7563446579577</c:v>
                </c:pt>
                <c:pt idx="241">
                  <c:v>145.2431424815247</c:v>
                </c:pt>
                <c:pt idx="242">
                  <c:v>144.72997744326557</c:v>
                </c:pt>
                <c:pt idx="243">
                  <c:v>145.04250090162373</c:v>
                </c:pt>
                <c:pt idx="244">
                  <c:v>145.42615386908719</c:v>
                </c:pt>
                <c:pt idx="245">
                  <c:v>144.09213559475398</c:v>
                </c:pt>
                <c:pt idx="246">
                  <c:v>149.25503967607688</c:v>
                </c:pt>
                <c:pt idx="247">
                  <c:v>146.30730713063355</c:v>
                </c:pt>
                <c:pt idx="248">
                  <c:v>143.74602806399281</c:v>
                </c:pt>
                <c:pt idx="249">
                  <c:v>145.28112868549195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2F-46A2-80C5-735B9887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802560"/>
        <c:axId val="329802920"/>
      </c:lineChart>
      <c:catAx>
        <c:axId val="329802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9802920"/>
        <c:crosses val="autoZero"/>
        <c:auto val="1"/>
        <c:lblAlgn val="ctr"/>
        <c:lblOffset val="100"/>
        <c:noMultiLvlLbl val="0"/>
      </c:catAx>
      <c:valAx>
        <c:axId val="329802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298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 Downside</a:t>
            </a:r>
            <a:r>
              <a:rPr lang="en-US" baseline="0"/>
              <a:t>  Risk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Calculation!$T$2</c:f>
              <c:strCache>
                <c:ptCount val="1"/>
                <c:pt idx="0">
                  <c:v>99% CI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Calculation!$S$3:$S$5</c:f>
              <c:strCache>
                <c:ptCount val="3"/>
                <c:pt idx="0">
                  <c:v>Historical </c:v>
                </c:pt>
                <c:pt idx="1">
                  <c:v>Parametric </c:v>
                </c:pt>
                <c:pt idx="2">
                  <c:v>Monte Carlo </c:v>
                </c:pt>
              </c:strCache>
            </c:strRef>
          </c:cat>
          <c:val>
            <c:numRef>
              <c:f>Calculation!$T$3:$T$5</c:f>
              <c:numCache>
                <c:formatCode>"$"#,##0</c:formatCode>
                <c:ptCount val="3"/>
                <c:pt idx="0">
                  <c:v>32536.520933512671</c:v>
                </c:pt>
                <c:pt idx="1">
                  <c:v>27930.257085124824</c:v>
                </c:pt>
                <c:pt idx="2">
                  <c:v>36995.535055472501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E-4588-9CA6-B376C521D5CE}"/>
            </c:ext>
          </c:extLst>
        </c:ser>
        <c:ser>
          <c:idx val="1"/>
          <c:order val="1"/>
          <c:tx>
            <c:strRef>
              <c:f>Calculation!$U$2</c:f>
              <c:strCache>
                <c:ptCount val="1"/>
                <c:pt idx="0">
                  <c:v>95% CI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Calculation!$S$3:$S$5</c:f>
              <c:strCache>
                <c:ptCount val="3"/>
                <c:pt idx="0">
                  <c:v>Historical </c:v>
                </c:pt>
                <c:pt idx="1">
                  <c:v>Parametric </c:v>
                </c:pt>
                <c:pt idx="2">
                  <c:v>Monte Carlo </c:v>
                </c:pt>
              </c:strCache>
            </c:strRef>
          </c:cat>
          <c:val>
            <c:numRef>
              <c:f>Calculation!$U$3:$U$5</c:f>
              <c:numCache>
                <c:formatCode>"$"#,##0</c:formatCode>
                <c:ptCount val="3"/>
                <c:pt idx="0">
                  <c:v>17449.262297023964</c:v>
                </c:pt>
                <c:pt idx="1">
                  <c:v>19286.185361585529</c:v>
                </c:pt>
                <c:pt idx="2">
                  <c:v>28559.017012131484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E-4588-9CA6-B376C521D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48432"/>
        <c:axId val="102847352"/>
      </c:barChart>
      <c:catAx>
        <c:axId val="10284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7352"/>
        <c:crosses val="autoZero"/>
        <c:auto val="1"/>
        <c:lblAlgn val="ctr"/>
        <c:lblOffset val="100"/>
        <c:noMultiLvlLbl val="0"/>
      </c:catAx>
      <c:valAx>
        <c:axId val="10284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Calculation!$W$3</c:f>
              <c:strCache>
                <c:ptCount val="1"/>
                <c:pt idx="0">
                  <c:v>Weights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74-4A83-9D50-670296733C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4-4A83-9D50-670296733C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74-4A83-9D50-670296733C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Calculation!$X$2:$Z$2</c:f>
              <c:strCache>
                <c:ptCount val="3"/>
                <c:pt idx="0">
                  <c:v>BTCUSD</c:v>
                </c:pt>
                <c:pt idx="1">
                  <c:v>XAUUSD</c:v>
                </c:pt>
                <c:pt idx="2">
                  <c:v>AAPL</c:v>
                </c:pt>
              </c:strCache>
            </c:strRef>
          </c:cat>
          <c:val>
            <c:numRef>
              <c:f>Calculation!$X$3:$Z$3</c:f>
              <c:numCache>
                <c:formatCode>0%</c:formatCode>
                <c:ptCount val="3"/>
                <c:pt idx="0">
                  <c:v>0.3</c:v>
                </c:pt>
                <c:pt idx="1">
                  <c:v>0.4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D-4FEE-9A20-C5DA43D308D9}"/>
            </c:ext>
          </c:extLst>
        </c:ser>
        <c:ser>
          <c:idx val="1"/>
          <c:order val="1"/>
          <c:tx>
            <c:strRef>
              <c:f>Calculation!$W$4</c:f>
              <c:strCache>
                <c:ptCount val="1"/>
                <c:pt idx="0">
                  <c:v>Stock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74-4A83-9D50-670296733C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74-4A83-9D50-670296733C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74-4A83-9D50-670296733C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Calculation!$X$2:$Z$2</c:f>
              <c:strCache>
                <c:ptCount val="3"/>
                <c:pt idx="0">
                  <c:v>BTCUSD</c:v>
                </c:pt>
                <c:pt idx="1">
                  <c:v>XAUUSD</c:v>
                </c:pt>
                <c:pt idx="2">
                  <c:v>AAPL</c:v>
                </c:pt>
              </c:strCache>
            </c:strRef>
          </c:cat>
          <c:val>
            <c:numRef>
              <c:f>Calculation!$X$4:$Z$4</c:f>
              <c:numCache>
                <c:formatCode>General</c:formatCode>
                <c:ptCount val="3"/>
                <c:pt idx="0">
                  <c:v>300000</c:v>
                </c:pt>
                <c:pt idx="1">
                  <c:v>400000</c:v>
                </c:pt>
                <c:pt idx="2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D-4FEE-9A20-C5DA43D308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Calculation!$AC$2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Calculation!$AB$3:$AB$5</c:f>
              <c:strCache>
                <c:ptCount val="3"/>
                <c:pt idx="0">
                  <c:v>Monte Carlo</c:v>
                </c:pt>
                <c:pt idx="1">
                  <c:v>Historical</c:v>
                </c:pt>
                <c:pt idx="2">
                  <c:v>Parametric</c:v>
                </c:pt>
              </c:strCache>
            </c:strRef>
          </c:cat>
          <c:val>
            <c:numRef>
              <c:f>Calculation!$AC$3:$AC$5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E-4547-990B-FACD4AFF4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089232"/>
        <c:axId val="599091392"/>
      </c:barChart>
      <c:catAx>
        <c:axId val="59908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91392"/>
        <c:crosses val="autoZero"/>
        <c:auto val="1"/>
        <c:lblAlgn val="ctr"/>
        <c:lblOffset val="100"/>
        <c:noMultiLvlLbl val="0"/>
      </c:catAx>
      <c:valAx>
        <c:axId val="5990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8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Breaches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Calculation!$AC$2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Calculation!$AB$3:$AB$5</c:f>
              <c:strCache>
                <c:ptCount val="3"/>
                <c:pt idx="0">
                  <c:v>Monte Carlo</c:v>
                </c:pt>
                <c:pt idx="1">
                  <c:v>Historical</c:v>
                </c:pt>
                <c:pt idx="2">
                  <c:v>Parametric</c:v>
                </c:pt>
              </c:strCache>
            </c:strRef>
          </c:cat>
          <c:val>
            <c:numRef>
              <c:f>Calculation!$AC$3:$AC$5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A-4748-8D9A-CC5F6AAC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089232"/>
        <c:axId val="599091392"/>
      </c:barChart>
      <c:catAx>
        <c:axId val="59908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91392"/>
        <c:crosses val="autoZero"/>
        <c:auto val="1"/>
        <c:lblAlgn val="ctr"/>
        <c:lblOffset val="100"/>
        <c:noMultiLvlLbl val="0"/>
      </c:catAx>
      <c:valAx>
        <c:axId val="5990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8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'Kupeic Test'!$J$3</c:f>
              <c:strCache>
                <c:ptCount val="1"/>
                <c:pt idx="0">
                  <c:v>Stock Value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E7-40F4-BD15-159811087A3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E7-40F4-BD15-159811087A3C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E7-40F4-BD15-159811087A3C}"/>
              </c:ext>
            </c:extLst>
          </c:dPt>
          <c:dLbls>
            <c:dLbl>
              <c:idx val="0"/>
              <c:layout>
                <c:manualLayout>
                  <c:x val="-0.22912971978087801"/>
                  <c:y val="0.19685715028195733"/>
                </c:manualLayout>
              </c:layout>
              <c:numFmt formatCode="&quot;$&quot;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421853388658366"/>
                      <c:h val="0.283498349834983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2E7-40F4-BD15-159811087A3C}"/>
                </c:ext>
              </c:extLst>
            </c:dLbl>
            <c:dLbl>
              <c:idx val="1"/>
              <c:layout>
                <c:manualLayout>
                  <c:x val="3.8969298962110558E-3"/>
                  <c:y val="-7.8051246069488836E-2"/>
                </c:manualLayout>
              </c:layout>
              <c:numFmt formatCode="&quot;$&quot;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08043911523505"/>
                      <c:h val="0.309900990099009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2E7-40F4-BD15-159811087A3C}"/>
                </c:ext>
              </c:extLst>
            </c:dLbl>
            <c:dLbl>
              <c:idx val="2"/>
              <c:numFmt formatCode="&quot;$&quot;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E7-40F4-BD15-159811087A3C}"/>
                </c:ext>
              </c:extLst>
            </c:dLbl>
            <c:numFmt formatCode="&quot;$&quot;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'Kupeic Test'!$K$1:$M$1</c:f>
              <c:strCache>
                <c:ptCount val="3"/>
                <c:pt idx="0">
                  <c:v>BTCUSD</c:v>
                </c:pt>
                <c:pt idx="1">
                  <c:v>XAUUSD</c:v>
                </c:pt>
                <c:pt idx="2">
                  <c:v>AAPL</c:v>
                </c:pt>
              </c:strCache>
            </c:strRef>
          </c:cat>
          <c:val>
            <c:numRef>
              <c:f>'Kupeic Test'!$K$3:$M$3</c:f>
              <c:numCache>
                <c:formatCode>"$"#,##0</c:formatCode>
                <c:ptCount val="3"/>
                <c:pt idx="0">
                  <c:v>300000</c:v>
                </c:pt>
                <c:pt idx="1">
                  <c:v>400000</c:v>
                </c:pt>
                <c:pt idx="2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E7-40F4-BD15-159811087A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'Kupeic Test'!$J$2</c15:sqref>
                        </c15:formulaRef>
                      </c:ext>
                    </c:extLst>
                    <c:strCache>
                      <c:ptCount val="1"/>
                      <c:pt idx="0">
                        <c:v>Weights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>
                        <a:shade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32E7-40F4-BD15-159811087A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32E7-40F4-BD15-159811087A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>
                        <a:tint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32E7-40F4-BD15-159811087A3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'Kupeic Test'!$K$1:$M$1</c15:sqref>
                        </c15:formulaRef>
                      </c:ext>
                    </c:extLst>
                    <c:strCache>
                      <c:ptCount val="3"/>
                      <c:pt idx="0">
                        <c:v>BTCUSD</c:v>
                      </c:pt>
                      <c:pt idx="1">
                        <c:v>XAUUSD</c:v>
                      </c:pt>
                      <c:pt idx="2">
                        <c:v>AAPL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'Kupeic Test'!$K$2:$M$2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0.3</c:v>
                      </c:pt>
                      <c:pt idx="1">
                        <c:v>0.4</c:v>
                      </c:pt>
                      <c:pt idx="2">
                        <c:v>0.3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32E7-40F4-BD15-159811087A3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Normalized Asset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Calculation!$D$1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Calculation!$D$2:$D$251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100.36424647054731</c:v>
                </c:pt>
                <c:pt idx="2">
                  <c:v>101.22704986438558</c:v>
                </c:pt>
                <c:pt idx="3">
                  <c:v>101.34440851241395</c:v>
                </c:pt>
                <c:pt idx="4">
                  <c:v>99.796143681758124</c:v>
                </c:pt>
                <c:pt idx="5">
                  <c:v>97.978823283955762</c:v>
                </c:pt>
                <c:pt idx="6">
                  <c:v>96.677446275818895</c:v>
                </c:pt>
                <c:pt idx="7">
                  <c:v>96.287120105709718</c:v>
                </c:pt>
                <c:pt idx="8">
                  <c:v>96.911728910216283</c:v>
                </c:pt>
                <c:pt idx="9">
                  <c:v>96.595295222199042</c:v>
                </c:pt>
                <c:pt idx="10">
                  <c:v>98.659503442520332</c:v>
                </c:pt>
                <c:pt idx="11">
                  <c:v>98.54257945615133</c:v>
                </c:pt>
                <c:pt idx="12">
                  <c:v>97.357257111064754</c:v>
                </c:pt>
                <c:pt idx="13">
                  <c:v>97.357257111064754</c:v>
                </c:pt>
                <c:pt idx="14">
                  <c:v>97.743671326239649</c:v>
                </c:pt>
                <c:pt idx="15">
                  <c:v>99.089383823631678</c:v>
                </c:pt>
                <c:pt idx="16">
                  <c:v>97.691511927115926</c:v>
                </c:pt>
                <c:pt idx="17">
                  <c:v>99.002886153418189</c:v>
                </c:pt>
                <c:pt idx="18">
                  <c:v>99.115463523193554</c:v>
                </c:pt>
                <c:pt idx="19">
                  <c:v>99.427985256276514</c:v>
                </c:pt>
                <c:pt idx="20">
                  <c:v>99.219782321441002</c:v>
                </c:pt>
                <c:pt idx="21">
                  <c:v>99.806140899923506</c:v>
                </c:pt>
                <c:pt idx="22">
                  <c:v>101.1083872313791</c:v>
                </c:pt>
                <c:pt idx="23">
                  <c:v>102.05942694206828</c:v>
                </c:pt>
                <c:pt idx="24">
                  <c:v>102.00292092635092</c:v>
                </c:pt>
                <c:pt idx="25">
                  <c:v>103.04480492384727</c:v>
                </c:pt>
                <c:pt idx="26">
                  <c:v>104.02627095069199</c:v>
                </c:pt>
                <c:pt idx="27">
                  <c:v>105.35503164336879</c:v>
                </c:pt>
                <c:pt idx="28">
                  <c:v>105.51107517908061</c:v>
                </c:pt>
                <c:pt idx="29">
                  <c:v>105.52411502886154</c:v>
                </c:pt>
                <c:pt idx="30">
                  <c:v>105.43718269698867</c:v>
                </c:pt>
                <c:pt idx="31">
                  <c:v>107.13497113846581</c:v>
                </c:pt>
                <c:pt idx="32">
                  <c:v>107.5778913693581</c:v>
                </c:pt>
                <c:pt idx="33">
                  <c:v>107.02195910703109</c:v>
                </c:pt>
                <c:pt idx="34">
                  <c:v>107.66047708463731</c:v>
                </c:pt>
                <c:pt idx="35">
                  <c:v>107.7339349050699</c:v>
                </c:pt>
                <c:pt idx="36">
                  <c:v>108.99749634884206</c:v>
                </c:pt>
                <c:pt idx="37">
                  <c:v>110.05720147437235</c:v>
                </c:pt>
                <c:pt idx="38">
                  <c:v>107.69959663398009</c:v>
                </c:pt>
                <c:pt idx="39">
                  <c:v>108.45503859795535</c:v>
                </c:pt>
                <c:pt idx="40">
                  <c:v>110.495775088671</c:v>
                </c:pt>
                <c:pt idx="41">
                  <c:v>110.83437652131582</c:v>
                </c:pt>
                <c:pt idx="42">
                  <c:v>112.10619653661591</c:v>
                </c:pt>
                <c:pt idx="43">
                  <c:v>112.46261909729466</c:v>
                </c:pt>
                <c:pt idx="44">
                  <c:v>110.97303359065305</c:v>
                </c:pt>
                <c:pt idx="45">
                  <c:v>109.50126921204534</c:v>
                </c:pt>
                <c:pt idx="46">
                  <c:v>108.72844078169554</c:v>
                </c:pt>
                <c:pt idx="47">
                  <c:v>105.87575631128729</c:v>
                </c:pt>
                <c:pt idx="48">
                  <c:v>105.66320675985811</c:v>
                </c:pt>
                <c:pt idx="49">
                  <c:v>106.37518255789693</c:v>
                </c:pt>
                <c:pt idx="50">
                  <c:v>105.16378051324848</c:v>
                </c:pt>
                <c:pt idx="51">
                  <c:v>105.37633006467766</c:v>
                </c:pt>
                <c:pt idx="52">
                  <c:v>102.83660198901177</c:v>
                </c:pt>
                <c:pt idx="53">
                  <c:v>101.77298490854719</c:v>
                </c:pt>
                <c:pt idx="54">
                  <c:v>101.28659851171848</c:v>
                </c:pt>
                <c:pt idx="55">
                  <c:v>103.27952221990404</c:v>
                </c:pt>
                <c:pt idx="56">
                  <c:v>99.106770290006253</c:v>
                </c:pt>
                <c:pt idx="57">
                  <c:v>99.853519020794224</c:v>
                </c:pt>
                <c:pt idx="58">
                  <c:v>96.666579734334803</c:v>
                </c:pt>
                <c:pt idx="59">
                  <c:v>97.183392447319008</c:v>
                </c:pt>
                <c:pt idx="60">
                  <c:v>97.109499965227059</c:v>
                </c:pt>
                <c:pt idx="61">
                  <c:v>96.7274323666458</c:v>
                </c:pt>
                <c:pt idx="62">
                  <c:v>99.801794283329855</c:v>
                </c:pt>
                <c:pt idx="63">
                  <c:v>103.44860560539675</c:v>
                </c:pt>
                <c:pt idx="64">
                  <c:v>103.92629876903818</c:v>
                </c:pt>
                <c:pt idx="65">
                  <c:v>103.15781695528202</c:v>
                </c:pt>
                <c:pt idx="66">
                  <c:v>102.46757424021142</c:v>
                </c:pt>
                <c:pt idx="67">
                  <c:v>98.998539536824538</c:v>
                </c:pt>
                <c:pt idx="68">
                  <c:v>101.07796091522361</c:v>
                </c:pt>
                <c:pt idx="69">
                  <c:v>100.93495722929273</c:v>
                </c:pt>
                <c:pt idx="70">
                  <c:v>101.26051881215663</c:v>
                </c:pt>
                <c:pt idx="71">
                  <c:v>98.833368106266079</c:v>
                </c:pt>
                <c:pt idx="72">
                  <c:v>98.950726754294465</c:v>
                </c:pt>
                <c:pt idx="73">
                  <c:v>101.11099520133529</c:v>
                </c:pt>
                <c:pt idx="74">
                  <c:v>102.95830725363378</c:v>
                </c:pt>
                <c:pt idx="75">
                  <c:v>104.98383058627165</c:v>
                </c:pt>
                <c:pt idx="76">
                  <c:v>106.31824188052022</c:v>
                </c:pt>
                <c:pt idx="77">
                  <c:v>106.26173586480283</c:v>
                </c:pt>
                <c:pt idx="78">
                  <c:v>106.43560052854859</c:v>
                </c:pt>
                <c:pt idx="79">
                  <c:v>106.85287572153837</c:v>
                </c:pt>
                <c:pt idx="80">
                  <c:v>106.73117045691633</c:v>
                </c:pt>
                <c:pt idx="81">
                  <c:v>107.43619166840533</c:v>
                </c:pt>
                <c:pt idx="82">
                  <c:v>107.37881632936922</c:v>
                </c:pt>
                <c:pt idx="83">
                  <c:v>104.47527644481536</c:v>
                </c:pt>
                <c:pt idx="84">
                  <c:v>103.14521176716045</c:v>
                </c:pt>
                <c:pt idx="85">
                  <c:v>105.1185757006746</c:v>
                </c:pt>
                <c:pt idx="86">
                  <c:v>103.46251477849641</c:v>
                </c:pt>
                <c:pt idx="87">
                  <c:v>102.54972529383129</c:v>
                </c:pt>
                <c:pt idx="88">
                  <c:v>102.46713957855206</c:v>
                </c:pt>
                <c:pt idx="89">
                  <c:v>102.28892829821268</c:v>
                </c:pt>
                <c:pt idx="90">
                  <c:v>103.91456290423535</c:v>
                </c:pt>
                <c:pt idx="91">
                  <c:v>98.876834272202515</c:v>
                </c:pt>
                <c:pt idx="92">
                  <c:v>95.990680854023239</c:v>
                </c:pt>
                <c:pt idx="93">
                  <c:v>94.312886848876829</c:v>
                </c:pt>
                <c:pt idx="94">
                  <c:v>91.139856735517071</c:v>
                </c:pt>
                <c:pt idx="95">
                  <c:v>92.795917657695256</c:v>
                </c:pt>
                <c:pt idx="96">
                  <c:v>93.017595103971075</c:v>
                </c:pt>
                <c:pt idx="97">
                  <c:v>92.448188330203777</c:v>
                </c:pt>
                <c:pt idx="98">
                  <c:v>93.556575561582861</c:v>
                </c:pt>
                <c:pt idx="99">
                  <c:v>93.061061269907512</c:v>
                </c:pt>
                <c:pt idx="100">
                  <c:v>94.873600389456854</c:v>
                </c:pt>
                <c:pt idx="101">
                  <c:v>95.942868071493152</c:v>
                </c:pt>
                <c:pt idx="102">
                  <c:v>97.255546282773494</c:v>
                </c:pt>
                <c:pt idx="103">
                  <c:v>96.29059739898463</c:v>
                </c:pt>
                <c:pt idx="104">
                  <c:v>97.299012448709917</c:v>
                </c:pt>
                <c:pt idx="105">
                  <c:v>94.712775575492046</c:v>
                </c:pt>
                <c:pt idx="106">
                  <c:v>96.551394394603236</c:v>
                </c:pt>
                <c:pt idx="107">
                  <c:v>97.012135753529449</c:v>
                </c:pt>
                <c:pt idx="108">
                  <c:v>97.316398915084491</c:v>
                </c:pt>
                <c:pt idx="109">
                  <c:v>88.318902566242443</c:v>
                </c:pt>
                <c:pt idx="110">
                  <c:v>81.881563391056403</c:v>
                </c:pt>
                <c:pt idx="111">
                  <c:v>78.873704708255104</c:v>
                </c:pt>
                <c:pt idx="112">
                  <c:v>74.944363307601364</c:v>
                </c:pt>
                <c:pt idx="113">
                  <c:v>86.432470964601151</c:v>
                </c:pt>
                <c:pt idx="114">
                  <c:v>82.768273176159681</c:v>
                </c:pt>
                <c:pt idx="115">
                  <c:v>86.128207803046124</c:v>
                </c:pt>
                <c:pt idx="116">
                  <c:v>88.027679254468325</c:v>
                </c:pt>
                <c:pt idx="117">
                  <c:v>87.862507823909866</c:v>
                </c:pt>
                <c:pt idx="118">
                  <c:v>84.441720564712426</c:v>
                </c:pt>
                <c:pt idx="119">
                  <c:v>85.619653661589808</c:v>
                </c:pt>
                <c:pt idx="120">
                  <c:v>83.959246122818001</c:v>
                </c:pt>
                <c:pt idx="121">
                  <c:v>86.819319841435444</c:v>
                </c:pt>
                <c:pt idx="122">
                  <c:v>88.931775505946177</c:v>
                </c:pt>
                <c:pt idx="123">
                  <c:v>90.570449961749773</c:v>
                </c:pt>
                <c:pt idx="124">
                  <c:v>90.965992071771339</c:v>
                </c:pt>
                <c:pt idx="125">
                  <c:v>91.339801098824665</c:v>
                </c:pt>
                <c:pt idx="126">
                  <c:v>91.80488907434453</c:v>
                </c:pt>
                <c:pt idx="127">
                  <c:v>92.365602614924541</c:v>
                </c:pt>
                <c:pt idx="128">
                  <c:v>92.722025175603306</c:v>
                </c:pt>
                <c:pt idx="129">
                  <c:v>89.257771750469445</c:v>
                </c:pt>
                <c:pt idx="130">
                  <c:v>86.449857430975726</c:v>
                </c:pt>
                <c:pt idx="131">
                  <c:v>86.284686000417281</c:v>
                </c:pt>
                <c:pt idx="132">
                  <c:v>85.302350650253842</c:v>
                </c:pt>
                <c:pt idx="133">
                  <c:v>85.841331107865642</c:v>
                </c:pt>
                <c:pt idx="134">
                  <c:v>86.293379233604554</c:v>
                </c:pt>
                <c:pt idx="135">
                  <c:v>91.622331177411496</c:v>
                </c:pt>
                <c:pt idx="136">
                  <c:v>92.552507128451225</c:v>
                </c:pt>
                <c:pt idx="137">
                  <c:v>92.29171013283262</c:v>
                </c:pt>
                <c:pt idx="138">
                  <c:v>91.909207872591963</c:v>
                </c:pt>
                <c:pt idx="139">
                  <c:v>91.826622157312741</c:v>
                </c:pt>
                <c:pt idx="140">
                  <c:v>90.748661242089156</c:v>
                </c:pt>
                <c:pt idx="141">
                  <c:v>89.914110856109602</c:v>
                </c:pt>
                <c:pt idx="142">
                  <c:v>87.840774740941654</c:v>
                </c:pt>
                <c:pt idx="143">
                  <c:v>87.523471729605689</c:v>
                </c:pt>
                <c:pt idx="144">
                  <c:v>84.876382224076792</c:v>
                </c:pt>
                <c:pt idx="145">
                  <c:v>87.023610821336675</c:v>
                </c:pt>
                <c:pt idx="146">
                  <c:v>87.114889769803185</c:v>
                </c:pt>
                <c:pt idx="147">
                  <c:v>86.91059878990194</c:v>
                </c:pt>
                <c:pt idx="148">
                  <c:v>87.301794283329855</c:v>
                </c:pt>
                <c:pt idx="149">
                  <c:v>87.671256693789559</c:v>
                </c:pt>
                <c:pt idx="150">
                  <c:v>88.353675498991592</c:v>
                </c:pt>
                <c:pt idx="151">
                  <c:v>88.158077752277634</c:v>
                </c:pt>
                <c:pt idx="152">
                  <c:v>87.206168718269694</c:v>
                </c:pt>
                <c:pt idx="153">
                  <c:v>88.636205577578409</c:v>
                </c:pt>
                <c:pt idx="154">
                  <c:v>87.56259127894846</c:v>
                </c:pt>
                <c:pt idx="155">
                  <c:v>88.092878503372972</c:v>
                </c:pt>
                <c:pt idx="156">
                  <c:v>86.402044648445653</c:v>
                </c:pt>
                <c:pt idx="157">
                  <c:v>86.584602545378672</c:v>
                </c:pt>
                <c:pt idx="158">
                  <c:v>85.389282982126716</c:v>
                </c:pt>
                <c:pt idx="159">
                  <c:v>86.245566451074481</c:v>
                </c:pt>
                <c:pt idx="160">
                  <c:v>85.037207038041586</c:v>
                </c:pt>
                <c:pt idx="161">
                  <c:v>85.44578899784409</c:v>
                </c:pt>
                <c:pt idx="162">
                  <c:v>87.366993532234517</c:v>
                </c:pt>
                <c:pt idx="163">
                  <c:v>87.584324361916686</c:v>
                </c:pt>
                <c:pt idx="164">
                  <c:v>87.062730370679475</c:v>
                </c:pt>
                <c:pt idx="165">
                  <c:v>87.610404061478548</c:v>
                </c:pt>
                <c:pt idx="166">
                  <c:v>87.366993532234517</c:v>
                </c:pt>
                <c:pt idx="167">
                  <c:v>87.401766464983666</c:v>
                </c:pt>
                <c:pt idx="168">
                  <c:v>89.179532651783845</c:v>
                </c:pt>
                <c:pt idx="169">
                  <c:v>90.331386049099379</c:v>
                </c:pt>
                <c:pt idx="170">
                  <c:v>92.339522915362679</c:v>
                </c:pt>
                <c:pt idx="171">
                  <c:v>92.821997357257118</c:v>
                </c:pt>
                <c:pt idx="172">
                  <c:v>91.257215383545443</c:v>
                </c:pt>
                <c:pt idx="173">
                  <c:v>91.283295083107305</c:v>
                </c:pt>
                <c:pt idx="174">
                  <c:v>91.774462758189017</c:v>
                </c:pt>
                <c:pt idx="175">
                  <c:v>92.326483065581755</c:v>
                </c:pt>
                <c:pt idx="176">
                  <c:v>91.783155991376319</c:v>
                </c:pt>
                <c:pt idx="177">
                  <c:v>90.679115376590872</c:v>
                </c:pt>
                <c:pt idx="178">
                  <c:v>90.892099589679404</c:v>
                </c:pt>
                <c:pt idx="179">
                  <c:v>91.348494332011967</c:v>
                </c:pt>
                <c:pt idx="180">
                  <c:v>91.287641699700956</c:v>
                </c:pt>
                <c:pt idx="181">
                  <c:v>91.791849224563606</c:v>
                </c:pt>
                <c:pt idx="182">
                  <c:v>92.356909381737253</c:v>
                </c:pt>
                <c:pt idx="183">
                  <c:v>93.191459767716808</c:v>
                </c:pt>
                <c:pt idx="184">
                  <c:v>93.082794352875737</c:v>
                </c:pt>
                <c:pt idx="185">
                  <c:v>92.913276305723628</c:v>
                </c:pt>
                <c:pt idx="186">
                  <c:v>92.965435704847337</c:v>
                </c:pt>
                <c:pt idx="187">
                  <c:v>93.039328186939301</c:v>
                </c:pt>
                <c:pt idx="188">
                  <c:v>91.830968773906392</c:v>
                </c:pt>
                <c:pt idx="189">
                  <c:v>90.866019890117542</c:v>
                </c:pt>
                <c:pt idx="190">
                  <c:v>90.222720634258295</c:v>
                </c:pt>
                <c:pt idx="191">
                  <c:v>87.966826622157313</c:v>
                </c:pt>
                <c:pt idx="192">
                  <c:v>88.388448431740727</c:v>
                </c:pt>
                <c:pt idx="193">
                  <c:v>88.201543918214071</c:v>
                </c:pt>
                <c:pt idx="194">
                  <c:v>92.691598859447808</c:v>
                </c:pt>
                <c:pt idx="195">
                  <c:v>95.63860490993811</c:v>
                </c:pt>
                <c:pt idx="196">
                  <c:v>99.689651575213858</c:v>
                </c:pt>
                <c:pt idx="197">
                  <c:v>98.74643577439322</c:v>
                </c:pt>
                <c:pt idx="198">
                  <c:v>99.820050073023154</c:v>
                </c:pt>
                <c:pt idx="199">
                  <c:v>101.41960497948396</c:v>
                </c:pt>
                <c:pt idx="200">
                  <c:v>101.18054106683358</c:v>
                </c:pt>
                <c:pt idx="201">
                  <c:v>100.66329369219001</c:v>
                </c:pt>
                <c:pt idx="202">
                  <c:v>100.35903053063495</c:v>
                </c:pt>
                <c:pt idx="203">
                  <c:v>100.21559218304472</c:v>
                </c:pt>
                <c:pt idx="204">
                  <c:v>98.237881632936919</c:v>
                </c:pt>
                <c:pt idx="205">
                  <c:v>97.755407191042494</c:v>
                </c:pt>
                <c:pt idx="206">
                  <c:v>98.998539536824538</c:v>
                </c:pt>
                <c:pt idx="207">
                  <c:v>98.737742541205932</c:v>
                </c:pt>
                <c:pt idx="208">
                  <c:v>99.672265108839284</c:v>
                </c:pt>
                <c:pt idx="209">
                  <c:v>100.18516586688921</c:v>
                </c:pt>
                <c:pt idx="210">
                  <c:v>101.08491550177344</c:v>
                </c:pt>
                <c:pt idx="211">
                  <c:v>100.90235760484039</c:v>
                </c:pt>
                <c:pt idx="212">
                  <c:v>99.850476389178667</c:v>
                </c:pt>
                <c:pt idx="213">
                  <c:v>103.65376590861675</c:v>
                </c:pt>
                <c:pt idx="214">
                  <c:v>104.22317268238403</c:v>
                </c:pt>
                <c:pt idx="215">
                  <c:v>104.18405313304125</c:v>
                </c:pt>
                <c:pt idx="216">
                  <c:v>103.39731552959176</c:v>
                </c:pt>
                <c:pt idx="217">
                  <c:v>101.86295987203562</c:v>
                </c:pt>
                <c:pt idx="218">
                  <c:v>98.576917727241124</c:v>
                </c:pt>
                <c:pt idx="219">
                  <c:v>99.985221503581613</c:v>
                </c:pt>
                <c:pt idx="220">
                  <c:v>101.74125460741359</c:v>
                </c:pt>
                <c:pt idx="221">
                  <c:v>102.88441477154183</c:v>
                </c:pt>
                <c:pt idx="222">
                  <c:v>103.51467417762015</c:v>
                </c:pt>
                <c:pt idx="223">
                  <c:v>103.87978997148619</c:v>
                </c:pt>
                <c:pt idx="224">
                  <c:v>103.39731552959176</c:v>
                </c:pt>
                <c:pt idx="225">
                  <c:v>106.70943737394811</c:v>
                </c:pt>
                <c:pt idx="226">
                  <c:v>111.30815773002294</c:v>
                </c:pt>
                <c:pt idx="227">
                  <c:v>110.59096599207179</c:v>
                </c:pt>
                <c:pt idx="228">
                  <c:v>109.66948327421935</c:v>
                </c:pt>
                <c:pt idx="229">
                  <c:v>111.65154044092078</c:v>
                </c:pt>
                <c:pt idx="230">
                  <c:v>111.03866750121708</c:v>
                </c:pt>
                <c:pt idx="231">
                  <c:v>110.59096599207179</c:v>
                </c:pt>
                <c:pt idx="232">
                  <c:v>110.67789832394463</c:v>
                </c:pt>
                <c:pt idx="233">
                  <c:v>111.03432088462341</c:v>
                </c:pt>
                <c:pt idx="234">
                  <c:v>111.76455247235553</c:v>
                </c:pt>
                <c:pt idx="235">
                  <c:v>112.1514013491898</c:v>
                </c:pt>
                <c:pt idx="236">
                  <c:v>111.5733013422352</c:v>
                </c:pt>
                <c:pt idx="237">
                  <c:v>111.4820223937687</c:v>
                </c:pt>
                <c:pt idx="238">
                  <c:v>112.16878781556436</c:v>
                </c:pt>
                <c:pt idx="239">
                  <c:v>110.42144794491968</c:v>
                </c:pt>
                <c:pt idx="240">
                  <c:v>106.60946519229432</c:v>
                </c:pt>
                <c:pt idx="241">
                  <c:v>107.64830655817512</c:v>
                </c:pt>
                <c:pt idx="242">
                  <c:v>107.6961193407052</c:v>
                </c:pt>
                <c:pt idx="243">
                  <c:v>108.37853814590723</c:v>
                </c:pt>
                <c:pt idx="244">
                  <c:v>107.5570276097086</c:v>
                </c:pt>
                <c:pt idx="245">
                  <c:v>109.66079004103206</c:v>
                </c:pt>
                <c:pt idx="246">
                  <c:v>113.98567355170736</c:v>
                </c:pt>
                <c:pt idx="247">
                  <c:v>114.21604423117044</c:v>
                </c:pt>
                <c:pt idx="248">
                  <c:v>112.33830586271647</c:v>
                </c:pt>
                <c:pt idx="249">
                  <c:v>112.82947353779818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A-42A4-85FB-D8CD6823B211}"/>
            </c:ext>
          </c:extLst>
        </c:ser>
        <c:ser>
          <c:idx val="1"/>
          <c:order val="1"/>
          <c:tx>
            <c:strRef>
              <c:f>Calculation!$E$1</c:f>
              <c:strCache>
                <c:ptCount val="1"/>
                <c:pt idx="0">
                  <c:v>XAUUSD_Close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Calculation!$E$2:$E$251</c:f>
            </c:numRef>
          </c:val>
          <c:smooth val="0"/>
          <c:extLst>
            <c:ext xmlns:c16="http://schemas.microsoft.com/office/drawing/2014/chart" uri="{C3380CC4-5D6E-409C-BE32-E72D297353CC}">
              <c16:uniqueId val="{00000001-069A-42A4-85FB-D8CD6823B211}"/>
            </c:ext>
          </c:extLst>
        </c:ser>
        <c:ser>
          <c:idx val="2"/>
          <c:order val="2"/>
          <c:tx>
            <c:strRef>
              <c:f>Calculation!$F$1</c:f>
              <c:strCache>
                <c:ptCount val="1"/>
                <c:pt idx="0">
                  <c:v>XAUUSD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Calculation!$F$2:$F$251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100.23940189730571</c:v>
                </c:pt>
                <c:pt idx="2">
                  <c:v>100.22807142583017</c:v>
                </c:pt>
                <c:pt idx="3">
                  <c:v>101.41429868950304</c:v>
                </c:pt>
                <c:pt idx="4">
                  <c:v>101.88615800159724</c:v>
                </c:pt>
                <c:pt idx="5">
                  <c:v>100.37354005961289</c:v>
                </c:pt>
                <c:pt idx="6">
                  <c:v>100.01937145123236</c:v>
                </c:pt>
                <c:pt idx="7">
                  <c:v>100.02558493558993</c:v>
                </c:pt>
                <c:pt idx="8">
                  <c:v>100.29276476296469</c:v>
                </c:pt>
                <c:pt idx="9">
                  <c:v>97.188215578667268</c:v>
                </c:pt>
                <c:pt idx="10">
                  <c:v>98.922691462124249</c:v>
                </c:pt>
                <c:pt idx="11">
                  <c:v>98.142716425711399</c:v>
                </c:pt>
                <c:pt idx="12">
                  <c:v>95.743945964616032</c:v>
                </c:pt>
                <c:pt idx="13">
                  <c:v>94.966712171302106</c:v>
                </c:pt>
                <c:pt idx="14">
                  <c:v>94.040537502946833</c:v>
                </c:pt>
                <c:pt idx="15">
                  <c:v>93.752341478480332</c:v>
                </c:pt>
                <c:pt idx="16">
                  <c:v>93.65292572875947</c:v>
                </c:pt>
                <c:pt idx="17">
                  <c:v>95.463608170366427</c:v>
                </c:pt>
                <c:pt idx="18">
                  <c:v>96.209043543732875</c:v>
                </c:pt>
                <c:pt idx="19">
                  <c:v>96.866941887473786</c:v>
                </c:pt>
                <c:pt idx="20">
                  <c:v>97.576010102394562</c:v>
                </c:pt>
                <c:pt idx="21">
                  <c:v>98.902223513652288</c:v>
                </c:pt>
                <c:pt idx="22">
                  <c:v>95.951914941054127</c:v>
                </c:pt>
                <c:pt idx="23">
                  <c:v>96.244131455399057</c:v>
                </c:pt>
                <c:pt idx="24">
                  <c:v>96.343547205119918</c:v>
                </c:pt>
                <c:pt idx="25">
                  <c:v>96.873886369991055</c:v>
                </c:pt>
                <c:pt idx="26">
                  <c:v>96.45740016849507</c:v>
                </c:pt>
                <c:pt idx="27">
                  <c:v>96.625712494768791</c:v>
                </c:pt>
                <c:pt idx="28">
                  <c:v>96.860728403116241</c:v>
                </c:pt>
                <c:pt idx="29">
                  <c:v>96.198809569496916</c:v>
                </c:pt>
                <c:pt idx="30">
                  <c:v>96.198809569496916</c:v>
                </c:pt>
                <c:pt idx="31">
                  <c:v>97.237192455367989</c:v>
                </c:pt>
                <c:pt idx="32">
                  <c:v>98.463441868285102</c:v>
                </c:pt>
                <c:pt idx="33">
                  <c:v>99.347401392916993</c:v>
                </c:pt>
                <c:pt idx="34">
                  <c:v>97.985369071833347</c:v>
                </c:pt>
                <c:pt idx="35">
                  <c:v>96.773922371650428</c:v>
                </c:pt>
                <c:pt idx="36">
                  <c:v>96.956854661118385</c:v>
                </c:pt>
                <c:pt idx="37">
                  <c:v>96.734082971946123</c:v>
                </c:pt>
                <c:pt idx="38">
                  <c:v>94.493939111508283</c:v>
                </c:pt>
                <c:pt idx="39">
                  <c:v>94.820878038439531</c:v>
                </c:pt>
                <c:pt idx="40">
                  <c:v>95.873698137964936</c:v>
                </c:pt>
                <c:pt idx="41">
                  <c:v>95.502899321450968</c:v>
                </c:pt>
                <c:pt idx="42">
                  <c:v>95.621138273784396</c:v>
                </c:pt>
                <c:pt idx="43">
                  <c:v>96.264964902950851</c:v>
                </c:pt>
                <c:pt idx="44">
                  <c:v>95.598294581293388</c:v>
                </c:pt>
                <c:pt idx="45">
                  <c:v>95.247780963711421</c:v>
                </c:pt>
                <c:pt idx="46">
                  <c:v>95.928340250403423</c:v>
                </c:pt>
                <c:pt idx="47">
                  <c:v>97.150020924822329</c:v>
                </c:pt>
                <c:pt idx="48">
                  <c:v>96.4281602421066</c:v>
                </c:pt>
                <c:pt idx="49">
                  <c:v>96.348664192237905</c:v>
                </c:pt>
                <c:pt idx="50">
                  <c:v>96.811020528255824</c:v>
                </c:pt>
                <c:pt idx="51">
                  <c:v>97.299510048483441</c:v>
                </c:pt>
                <c:pt idx="52">
                  <c:v>98.341913424232942</c:v>
                </c:pt>
                <c:pt idx="53">
                  <c:v>97.334049711529843</c:v>
                </c:pt>
                <c:pt idx="54">
                  <c:v>97.857261644343808</c:v>
                </c:pt>
                <c:pt idx="55">
                  <c:v>98.557740630887963</c:v>
                </c:pt>
                <c:pt idx="56">
                  <c:v>99.221486959906571</c:v>
                </c:pt>
                <c:pt idx="57">
                  <c:v>98.716367231545476</c:v>
                </c:pt>
                <c:pt idx="58">
                  <c:v>100.32255293797296</c:v>
                </c:pt>
                <c:pt idx="59">
                  <c:v>100.74269413026751</c:v>
                </c:pt>
                <c:pt idx="60">
                  <c:v>100.69079326092798</c:v>
                </c:pt>
                <c:pt idx="61">
                  <c:v>101.28363276845451</c:v>
                </c:pt>
                <c:pt idx="62">
                  <c:v>100.18073929498881</c:v>
                </c:pt>
                <c:pt idx="63">
                  <c:v>101.01992518233835</c:v>
                </c:pt>
                <c:pt idx="64">
                  <c:v>100.86385707523979</c:v>
                </c:pt>
                <c:pt idx="65">
                  <c:v>102.12757014384218</c:v>
                </c:pt>
                <c:pt idx="66">
                  <c:v>102.38652624192019</c:v>
                </c:pt>
                <c:pt idx="67">
                  <c:v>102.88799097948271</c:v>
                </c:pt>
                <c:pt idx="68">
                  <c:v>103.89603744172572</c:v>
                </c:pt>
                <c:pt idx="69">
                  <c:v>104.77652472509899</c:v>
                </c:pt>
                <c:pt idx="70">
                  <c:v>104.38781645367207</c:v>
                </c:pt>
                <c:pt idx="71">
                  <c:v>104.55667702856559</c:v>
                </c:pt>
                <c:pt idx="72">
                  <c:v>106.28877716800346</c:v>
                </c:pt>
                <c:pt idx="73">
                  <c:v>105.90628238093409</c:v>
                </c:pt>
                <c:pt idx="74">
                  <c:v>106.13764329848298</c:v>
                </c:pt>
                <c:pt idx="75">
                  <c:v>107.02324756897423</c:v>
                </c:pt>
                <c:pt idx="76">
                  <c:v>105.45233252375286</c:v>
                </c:pt>
                <c:pt idx="77">
                  <c:v>107.28457941107132</c:v>
                </c:pt>
                <c:pt idx="78">
                  <c:v>107.19868712730516</c:v>
                </c:pt>
                <c:pt idx="79">
                  <c:v>107.44485075758823</c:v>
                </c:pt>
                <c:pt idx="80">
                  <c:v>107.27105594511666</c:v>
                </c:pt>
                <c:pt idx="81">
                  <c:v>107.92310630357989</c:v>
                </c:pt>
                <c:pt idx="82">
                  <c:v>106.54279902850344</c:v>
                </c:pt>
                <c:pt idx="83">
                  <c:v>106.59342065106352</c:v>
                </c:pt>
                <c:pt idx="84">
                  <c:v>105.15664376814931</c:v>
                </c:pt>
                <c:pt idx="85">
                  <c:v>104.34797705396777</c:v>
                </c:pt>
                <c:pt idx="86">
                  <c:v>105.73230481892261</c:v>
                </c:pt>
                <c:pt idx="87">
                  <c:v>106.65226600292033</c:v>
                </c:pt>
                <c:pt idx="88">
                  <c:v>106.69539489434334</c:v>
                </c:pt>
                <c:pt idx="89">
                  <c:v>106.40189913321892</c:v>
                </c:pt>
                <c:pt idx="90">
                  <c:v>106.33684029700454</c:v>
                </c:pt>
                <c:pt idx="91">
                  <c:v>105.44575354031547</c:v>
                </c:pt>
                <c:pt idx="92">
                  <c:v>106.63472204708727</c:v>
                </c:pt>
                <c:pt idx="93">
                  <c:v>107.38947764699</c:v>
                </c:pt>
                <c:pt idx="94">
                  <c:v>109.18645387310238</c:v>
                </c:pt>
                <c:pt idx="95">
                  <c:v>109.1031200828952</c:v>
                </c:pt>
                <c:pt idx="96">
                  <c:v>109.66014068059582</c:v>
                </c:pt>
                <c:pt idx="97">
                  <c:v>110.91252327772266</c:v>
                </c:pt>
                <c:pt idx="98">
                  <c:v>111.48489483677724</c:v>
                </c:pt>
                <c:pt idx="99">
                  <c:v>111.32407524164056</c:v>
                </c:pt>
                <c:pt idx="100">
                  <c:v>110.5210737631968</c:v>
                </c:pt>
                <c:pt idx="101">
                  <c:v>110.07224089313354</c:v>
                </c:pt>
                <c:pt idx="102">
                  <c:v>110.43262298587162</c:v>
                </c:pt>
                <c:pt idx="103">
                  <c:v>110.35586817910186</c:v>
                </c:pt>
                <c:pt idx="104">
                  <c:v>111.66800987578513</c:v>
                </c:pt>
                <c:pt idx="105">
                  <c:v>112.76560361259288</c:v>
                </c:pt>
                <c:pt idx="106">
                  <c:v>114.15541386374559</c:v>
                </c:pt>
                <c:pt idx="107">
                  <c:v>113.82957143405392</c:v>
                </c:pt>
                <c:pt idx="108">
                  <c:v>114.6046122328887</c:v>
                </c:pt>
                <c:pt idx="109">
                  <c:v>113.84327764954851</c:v>
                </c:pt>
                <c:pt idx="110">
                  <c:v>110.97959235887625</c:v>
                </c:pt>
                <c:pt idx="111">
                  <c:v>109.03696474944124</c:v>
                </c:pt>
                <c:pt idx="112">
                  <c:v>109.02234478624699</c:v>
                </c:pt>
                <c:pt idx="113">
                  <c:v>112.68117332514616</c:v>
                </c:pt>
                <c:pt idx="114">
                  <c:v>116.06807054863239</c:v>
                </c:pt>
                <c:pt idx="115">
                  <c:v>118.09202170333535</c:v>
                </c:pt>
                <c:pt idx="116">
                  <c:v>117.35097231892718</c:v>
                </c:pt>
                <c:pt idx="117">
                  <c:v>118.05857853752852</c:v>
                </c:pt>
                <c:pt idx="118">
                  <c:v>122.18835264082222</c:v>
                </c:pt>
                <c:pt idx="119">
                  <c:v>121.61488458452806</c:v>
                </c:pt>
                <c:pt idx="120">
                  <c:v>125.16168765545133</c:v>
                </c:pt>
                <c:pt idx="121">
                  <c:v>123.58108688461375</c:v>
                </c:pt>
                <c:pt idx="122">
                  <c:v>120.1881589263099</c:v>
                </c:pt>
                <c:pt idx="123">
                  <c:v>122.42738903904808</c:v>
                </c:pt>
                <c:pt idx="124">
                  <c:v>120.79689764381018</c:v>
                </c:pt>
                <c:pt idx="125">
                  <c:v>122.21868906445027</c:v>
                </c:pt>
                <c:pt idx="126">
                  <c:v>121.2449995157137</c:v>
                </c:pt>
                <c:pt idx="127">
                  <c:v>120.19071741986889</c:v>
                </c:pt>
                <c:pt idx="128">
                  <c:v>118.38332446998064</c:v>
                </c:pt>
                <c:pt idx="129">
                  <c:v>118.19034095581664</c:v>
                </c:pt>
                <c:pt idx="130">
                  <c:v>121.85428648183378</c:v>
                </c:pt>
                <c:pt idx="131">
                  <c:v>125.43069497822539</c:v>
                </c:pt>
                <c:pt idx="132">
                  <c:v>122.97161716895377</c:v>
                </c:pt>
                <c:pt idx="133">
                  <c:v>120.81608634550263</c:v>
                </c:pt>
                <c:pt idx="134">
                  <c:v>121.67263343914532</c:v>
                </c:pt>
                <c:pt idx="135">
                  <c:v>118.27239549924433</c:v>
                </c:pt>
                <c:pt idx="136">
                  <c:v>118.79542468251836</c:v>
                </c:pt>
                <c:pt idx="137">
                  <c:v>116.1384291215047</c:v>
                </c:pt>
                <c:pt idx="138">
                  <c:v>118.41548838900798</c:v>
                </c:pt>
                <c:pt idx="139">
                  <c:v>116.6841192477298</c:v>
                </c:pt>
                <c:pt idx="140">
                  <c:v>118.047248066053</c:v>
                </c:pt>
                <c:pt idx="141">
                  <c:v>120.24864902402608</c:v>
                </c:pt>
                <c:pt idx="142">
                  <c:v>121.17866143271982</c:v>
                </c:pt>
                <c:pt idx="143">
                  <c:v>120.42262658603755</c:v>
                </c:pt>
                <c:pt idx="144">
                  <c:v>122.84095124790522</c:v>
                </c:pt>
                <c:pt idx="145">
                  <c:v>120.64046403763177</c:v>
                </c:pt>
                <c:pt idx="146">
                  <c:v>120.15873625038149</c:v>
                </c:pt>
                <c:pt idx="147">
                  <c:v>121.26236072200686</c:v>
                </c:pt>
                <c:pt idx="148">
                  <c:v>120.4281090722354</c:v>
                </c:pt>
                <c:pt idx="149">
                  <c:v>123.59789984228713</c:v>
                </c:pt>
                <c:pt idx="150">
                  <c:v>122.5682889343326</c:v>
                </c:pt>
                <c:pt idx="151">
                  <c:v>123.27169191351561</c:v>
                </c:pt>
                <c:pt idx="152">
                  <c:v>122.54526249230166</c:v>
                </c:pt>
                <c:pt idx="153">
                  <c:v>121.06919445830296</c:v>
                </c:pt>
                <c:pt idx="154">
                  <c:v>121.55274974095252</c:v>
                </c:pt>
                <c:pt idx="155">
                  <c:v>121.46356796546765</c:v>
                </c:pt>
                <c:pt idx="156">
                  <c:v>122.6276825348092</c:v>
                </c:pt>
                <c:pt idx="157">
                  <c:v>123.75360245030582</c:v>
                </c:pt>
                <c:pt idx="158">
                  <c:v>125.45865565783438</c:v>
                </c:pt>
                <c:pt idx="159">
                  <c:v>123.73021050919503</c:v>
                </c:pt>
                <c:pt idx="160">
                  <c:v>123.85411469726624</c:v>
                </c:pt>
                <c:pt idx="161">
                  <c:v>123.15162546578289</c:v>
                </c:pt>
                <c:pt idx="162">
                  <c:v>123.00743607877966</c:v>
                </c:pt>
                <c:pt idx="163">
                  <c:v>123.12768527605232</c:v>
                </c:pt>
                <c:pt idx="164">
                  <c:v>121.49317339093597</c:v>
                </c:pt>
                <c:pt idx="165">
                  <c:v>121.79507563089709</c:v>
                </c:pt>
                <c:pt idx="166">
                  <c:v>121.63462153484028</c:v>
                </c:pt>
                <c:pt idx="167">
                  <c:v>119.5596832584974</c:v>
                </c:pt>
                <c:pt idx="168">
                  <c:v>120.72617357185804</c:v>
                </c:pt>
                <c:pt idx="169">
                  <c:v>122.02278155764743</c:v>
                </c:pt>
                <c:pt idx="170">
                  <c:v>122.7227122955718</c:v>
                </c:pt>
                <c:pt idx="171">
                  <c:v>121.56883170046619</c:v>
                </c:pt>
                <c:pt idx="172">
                  <c:v>121.96576370118987</c:v>
                </c:pt>
                <c:pt idx="173">
                  <c:v>120.67335895481884</c:v>
                </c:pt>
                <c:pt idx="174">
                  <c:v>121.11488184328496</c:v>
                </c:pt>
                <c:pt idx="175">
                  <c:v>121.49353889001584</c:v>
                </c:pt>
                <c:pt idx="176">
                  <c:v>122.6777559087495</c:v>
                </c:pt>
                <c:pt idx="177">
                  <c:v>122.20480009941575</c:v>
                </c:pt>
                <c:pt idx="178">
                  <c:v>121.49134589553671</c:v>
                </c:pt>
                <c:pt idx="179">
                  <c:v>122.35355822491715</c:v>
                </c:pt>
                <c:pt idx="180">
                  <c:v>122.04763549507763</c:v>
                </c:pt>
                <c:pt idx="181">
                  <c:v>122.37987415866681</c:v>
                </c:pt>
                <c:pt idx="182">
                  <c:v>124.16497166468383</c:v>
                </c:pt>
                <c:pt idx="183">
                  <c:v>125.42996398006568</c:v>
                </c:pt>
                <c:pt idx="184">
                  <c:v>123.80422407286589</c:v>
                </c:pt>
                <c:pt idx="185">
                  <c:v>123.12293378801418</c:v>
                </c:pt>
                <c:pt idx="186">
                  <c:v>121.98659714874167</c:v>
                </c:pt>
                <c:pt idx="187">
                  <c:v>121.14923875679142</c:v>
                </c:pt>
                <c:pt idx="188">
                  <c:v>121.58747215353884</c:v>
                </c:pt>
                <c:pt idx="189">
                  <c:v>119.71995460501428</c:v>
                </c:pt>
                <c:pt idx="190">
                  <c:v>120.24864902402608</c:v>
                </c:pt>
                <c:pt idx="191">
                  <c:v>122.70151334894013</c:v>
                </c:pt>
                <c:pt idx="192">
                  <c:v>123.30860732058106</c:v>
                </c:pt>
                <c:pt idx="193">
                  <c:v>123.57140115899759</c:v>
                </c:pt>
                <c:pt idx="194">
                  <c:v>123.14998071992352</c:v>
                </c:pt>
                <c:pt idx="195">
                  <c:v>124.18854635533457</c:v>
                </c:pt>
                <c:pt idx="196">
                  <c:v>124.21504503862411</c:v>
                </c:pt>
                <c:pt idx="197">
                  <c:v>122.17263618038841</c:v>
                </c:pt>
                <c:pt idx="198">
                  <c:v>122.37658466694809</c:v>
                </c:pt>
                <c:pt idx="199">
                  <c:v>122.66130845015597</c:v>
                </c:pt>
                <c:pt idx="200">
                  <c:v>121.91349733277046</c:v>
                </c:pt>
                <c:pt idx="201">
                  <c:v>122.04507700151865</c:v>
                </c:pt>
                <c:pt idx="202">
                  <c:v>121.81773657384818</c:v>
                </c:pt>
                <c:pt idx="203">
                  <c:v>121.19583988947306</c:v>
                </c:pt>
                <c:pt idx="204">
                  <c:v>122.38791513842362</c:v>
                </c:pt>
                <c:pt idx="205">
                  <c:v>122.0428840070395</c:v>
                </c:pt>
                <c:pt idx="206">
                  <c:v>123.29142886382782</c:v>
                </c:pt>
                <c:pt idx="207">
                  <c:v>123.01876655025521</c:v>
                </c:pt>
                <c:pt idx="208">
                  <c:v>124.03887448213349</c:v>
                </c:pt>
                <c:pt idx="209">
                  <c:v>124.17739863339894</c:v>
                </c:pt>
                <c:pt idx="210">
                  <c:v>124.87696387224344</c:v>
                </c:pt>
                <c:pt idx="211">
                  <c:v>126.18325758364904</c:v>
                </c:pt>
                <c:pt idx="212">
                  <c:v>129.13539365164647</c:v>
                </c:pt>
                <c:pt idx="213">
                  <c:v>130.10323521510534</c:v>
                </c:pt>
                <c:pt idx="214">
                  <c:v>129.60432897110181</c:v>
                </c:pt>
                <c:pt idx="215">
                  <c:v>131.38540598724043</c:v>
                </c:pt>
                <c:pt idx="216">
                  <c:v>132.89619643382545</c:v>
                </c:pt>
                <c:pt idx="217">
                  <c:v>132.53033185488957</c:v>
                </c:pt>
                <c:pt idx="218">
                  <c:v>133.06743275273806</c:v>
                </c:pt>
                <c:pt idx="219">
                  <c:v>132.82364486647404</c:v>
                </c:pt>
                <c:pt idx="220">
                  <c:v>133.19462643252794</c:v>
                </c:pt>
                <c:pt idx="221">
                  <c:v>134.47606620650333</c:v>
                </c:pt>
                <c:pt idx="222">
                  <c:v>134.86203323483133</c:v>
                </c:pt>
                <c:pt idx="223">
                  <c:v>133.75987075952537</c:v>
                </c:pt>
                <c:pt idx="224">
                  <c:v>133.20522590584378</c:v>
                </c:pt>
                <c:pt idx="225">
                  <c:v>134.66612572802848</c:v>
                </c:pt>
                <c:pt idx="226">
                  <c:v>136.93423026807528</c:v>
                </c:pt>
                <c:pt idx="227">
                  <c:v>137.59870759525361</c:v>
                </c:pt>
                <c:pt idx="228">
                  <c:v>136.55539047180449</c:v>
                </c:pt>
                <c:pt idx="229">
                  <c:v>137.0393112535339</c:v>
                </c:pt>
                <c:pt idx="230">
                  <c:v>137.67308665800434</c:v>
                </c:pt>
                <c:pt idx="231">
                  <c:v>140.11261026650365</c:v>
                </c:pt>
                <c:pt idx="232">
                  <c:v>141.03586094222007</c:v>
                </c:pt>
                <c:pt idx="233">
                  <c:v>141.29262404581894</c:v>
                </c:pt>
                <c:pt idx="234">
                  <c:v>140.9585578868305</c:v>
                </c:pt>
                <c:pt idx="235">
                  <c:v>142.0302011889685</c:v>
                </c:pt>
                <c:pt idx="236">
                  <c:v>144.73964586794153</c:v>
                </c:pt>
                <c:pt idx="237">
                  <c:v>145.64571808690471</c:v>
                </c:pt>
                <c:pt idx="238">
                  <c:v>147.6985436689163</c:v>
                </c:pt>
                <c:pt idx="239">
                  <c:v>145.36117705323676</c:v>
                </c:pt>
                <c:pt idx="240">
                  <c:v>146.58980221017293</c:v>
                </c:pt>
                <c:pt idx="241">
                  <c:v>150.22852829967999</c:v>
                </c:pt>
                <c:pt idx="242">
                  <c:v>151.38898787822299</c:v>
                </c:pt>
                <c:pt idx="243">
                  <c:v>153.80384029883206</c:v>
                </c:pt>
                <c:pt idx="244">
                  <c:v>158.19092575434442</c:v>
                </c:pt>
                <c:pt idx="245">
                  <c:v>154.43743295376254</c:v>
                </c:pt>
                <c:pt idx="246">
                  <c:v>159.21395767886153</c:v>
                </c:pt>
                <c:pt idx="247">
                  <c:v>150.76179145718999</c:v>
                </c:pt>
                <c:pt idx="248">
                  <c:v>149.79394989373114</c:v>
                </c:pt>
                <c:pt idx="249">
                  <c:v>150.82940878696337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A-42A4-85FB-D8CD6823B211}"/>
            </c:ext>
          </c:extLst>
        </c:ser>
        <c:ser>
          <c:idx val="3"/>
          <c:order val="3"/>
          <c:tx>
            <c:strRef>
              <c:f>Calculation!$G$1</c:f>
              <c:strCache>
                <c:ptCount val="1"/>
                <c:pt idx="0">
                  <c:v>BTCUSD_Close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Calculation!$G$2:$G$251</c:f>
            </c:numRef>
          </c:val>
          <c:smooth val="0"/>
          <c:extLst>
            <c:ext xmlns:c16="http://schemas.microsoft.com/office/drawing/2014/chart" uri="{C3380CC4-5D6E-409C-BE32-E72D297353CC}">
              <c16:uniqueId val="{00000003-069A-42A4-85FB-D8CD6823B211}"/>
            </c:ext>
          </c:extLst>
        </c:ser>
        <c:ser>
          <c:idx val="4"/>
          <c:order val="4"/>
          <c:tx>
            <c:strRef>
              <c:f>Calculation!$H$1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Calculation!$H$2:$H$251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97.774732675122678</c:v>
                </c:pt>
                <c:pt idx="2">
                  <c:v>102.35190260356278</c:v>
                </c:pt>
                <c:pt idx="3">
                  <c:v>106.31038965602053</c:v>
                </c:pt>
                <c:pt idx="4">
                  <c:v>105.95581087570127</c:v>
                </c:pt>
                <c:pt idx="5">
                  <c:v>103.02387477600928</c:v>
                </c:pt>
                <c:pt idx="6">
                  <c:v>101.29738941006994</c:v>
                </c:pt>
                <c:pt idx="7">
                  <c:v>99.383659510675429</c:v>
                </c:pt>
                <c:pt idx="8">
                  <c:v>101.87332372954805</c:v>
                </c:pt>
                <c:pt idx="9">
                  <c:v>110.80089127812329</c:v>
                </c:pt>
                <c:pt idx="10">
                  <c:v>111.12897180937658</c:v>
                </c:pt>
                <c:pt idx="11">
                  <c:v>112.25551339259572</c:v>
                </c:pt>
                <c:pt idx="12">
                  <c:v>129.04164177880844</c:v>
                </c:pt>
                <c:pt idx="13">
                  <c:v>129.76573205439024</c:v>
                </c:pt>
                <c:pt idx="14">
                  <c:v>131.44463769134373</c:v>
                </c:pt>
                <c:pt idx="15">
                  <c:v>128.41915252450724</c:v>
                </c:pt>
                <c:pt idx="16">
                  <c:v>133.63798999800898</c:v>
                </c:pt>
                <c:pt idx="17">
                  <c:v>133.57342796575432</c:v>
                </c:pt>
                <c:pt idx="18">
                  <c:v>134.60246770434398</c:v>
                </c:pt>
                <c:pt idx="19">
                  <c:v>137.94578546080604</c:v>
                </c:pt>
                <c:pt idx="20">
                  <c:v>144.09645362660018</c:v>
                </c:pt>
                <c:pt idx="21">
                  <c:v>145.21274726819158</c:v>
                </c:pt>
                <c:pt idx="22">
                  <c:v>138.16187062998489</c:v>
                </c:pt>
                <c:pt idx="23">
                  <c:v>134.32840846538539</c:v>
                </c:pt>
                <c:pt idx="24">
                  <c:v>140.73717836103208</c:v>
                </c:pt>
                <c:pt idx="25">
                  <c:v>142.55443120995986</c:v>
                </c:pt>
                <c:pt idx="26">
                  <c:v>139.6737348184065</c:v>
                </c:pt>
                <c:pt idx="27">
                  <c:v>140.76426220676248</c:v>
                </c:pt>
                <c:pt idx="28">
                  <c:v>143.92926577890213</c:v>
                </c:pt>
                <c:pt idx="29">
                  <c:v>141.62347891266413</c:v>
                </c:pt>
                <c:pt idx="30">
                  <c:v>148.62004146024387</c:v>
                </c:pt>
                <c:pt idx="31">
                  <c:v>141.99723598374385</c:v>
                </c:pt>
                <c:pt idx="32">
                  <c:v>141.85815677593899</c:v>
                </c:pt>
                <c:pt idx="33">
                  <c:v>148.23208367005142</c:v>
                </c:pt>
                <c:pt idx="34">
                  <c:v>147.08285021608518</c:v>
                </c:pt>
                <c:pt idx="35">
                  <c:v>148.78693650960966</c:v>
                </c:pt>
                <c:pt idx="36">
                  <c:v>154.95473337783869</c:v>
                </c:pt>
                <c:pt idx="37">
                  <c:v>155.15676422707099</c:v>
                </c:pt>
                <c:pt idx="38">
                  <c:v>148.02419685417473</c:v>
                </c:pt>
                <c:pt idx="39">
                  <c:v>143.79208976025672</c:v>
                </c:pt>
                <c:pt idx="40">
                  <c:v>141.14841361863603</c:v>
                </c:pt>
                <c:pt idx="41">
                  <c:v>139.15211458955531</c:v>
                </c:pt>
                <c:pt idx="42">
                  <c:v>144.50461450171582</c:v>
                </c:pt>
                <c:pt idx="43">
                  <c:v>140.11629949755806</c:v>
                </c:pt>
                <c:pt idx="44">
                  <c:v>138.34721197428061</c:v>
                </c:pt>
                <c:pt idx="45">
                  <c:v>135.58231732312055</c:v>
                </c:pt>
                <c:pt idx="46">
                  <c:v>136.61340665003573</c:v>
                </c:pt>
                <c:pt idx="47">
                  <c:v>141.73327828724689</c:v>
                </c:pt>
                <c:pt idx="48">
                  <c:v>143.91506505978944</c:v>
                </c:pt>
                <c:pt idx="49">
                  <c:v>149.38717309066209</c:v>
                </c:pt>
                <c:pt idx="50">
                  <c:v>142.19575325298948</c:v>
                </c:pt>
                <c:pt idx="51">
                  <c:v>139.46218802337705</c:v>
                </c:pt>
                <c:pt idx="52">
                  <c:v>138.51747420446694</c:v>
                </c:pt>
                <c:pt idx="53">
                  <c:v>138.1435707342211</c:v>
                </c:pt>
                <c:pt idx="54">
                  <c:v>141.5510113254395</c:v>
                </c:pt>
                <c:pt idx="55">
                  <c:v>145.97285173863654</c:v>
                </c:pt>
                <c:pt idx="56">
                  <c:v>146.13608680884954</c:v>
                </c:pt>
                <c:pt idx="57">
                  <c:v>153.35019851726926</c:v>
                </c:pt>
                <c:pt idx="58">
                  <c:v>155.20214796856519</c:v>
                </c:pt>
                <c:pt idx="59">
                  <c:v>151.96672639752646</c:v>
                </c:pt>
                <c:pt idx="60">
                  <c:v>152.24927678811943</c:v>
                </c:pt>
                <c:pt idx="61">
                  <c:v>153.74840424908942</c:v>
                </c:pt>
                <c:pt idx="62">
                  <c:v>148.75180070974318</c:v>
                </c:pt>
                <c:pt idx="63">
                  <c:v>148.15449211201295</c:v>
                </c:pt>
                <c:pt idx="64">
                  <c:v>151.50556902427886</c:v>
                </c:pt>
                <c:pt idx="65">
                  <c:v>153.89333942353866</c:v>
                </c:pt>
                <c:pt idx="66">
                  <c:v>148.73716079313212</c:v>
                </c:pt>
                <c:pt idx="67">
                  <c:v>148.90991180914236</c:v>
                </c:pt>
                <c:pt idx="68">
                  <c:v>143.01529578487524</c:v>
                </c:pt>
                <c:pt idx="69">
                  <c:v>141.27914807397258</c:v>
                </c:pt>
                <c:pt idx="70">
                  <c:v>141.92696438401086</c:v>
                </c:pt>
                <c:pt idx="71">
                  <c:v>140.42534813721704</c:v>
                </c:pt>
                <c:pt idx="72">
                  <c:v>142.63363315882555</c:v>
                </c:pt>
                <c:pt idx="73">
                  <c:v>139.86595692350937</c:v>
                </c:pt>
                <c:pt idx="74">
                  <c:v>143.20415070915757</c:v>
                </c:pt>
                <c:pt idx="75">
                  <c:v>141.07082206059755</c:v>
                </c:pt>
                <c:pt idx="76">
                  <c:v>142.23176744785263</c:v>
                </c:pt>
                <c:pt idx="77">
                  <c:v>139.4702399775131</c:v>
                </c:pt>
                <c:pt idx="78">
                  <c:v>141.3158942646663</c:v>
                </c:pt>
                <c:pt idx="79">
                  <c:v>143.69048873897617</c:v>
                </c:pt>
                <c:pt idx="80">
                  <c:v>139.28972980569904</c:v>
                </c:pt>
                <c:pt idx="81">
                  <c:v>135.32787557242077</c:v>
                </c:pt>
                <c:pt idx="82">
                  <c:v>129.88431537893962</c:v>
                </c:pt>
                <c:pt idx="83">
                  <c:v>123.2969385006383</c:v>
                </c:pt>
                <c:pt idx="84">
                  <c:v>123.86028249183094</c:v>
                </c:pt>
                <c:pt idx="85">
                  <c:v>123.16312966281346</c:v>
                </c:pt>
                <c:pt idx="86">
                  <c:v>126.74478526170316</c:v>
                </c:pt>
                <c:pt idx="87">
                  <c:v>128.03617230596254</c:v>
                </c:pt>
                <c:pt idx="88">
                  <c:v>132.413507372662</c:v>
                </c:pt>
                <c:pt idx="89">
                  <c:v>132.19478701849314</c:v>
                </c:pt>
                <c:pt idx="90">
                  <c:v>128.3988030404179</c:v>
                </c:pt>
                <c:pt idx="91">
                  <c:v>116.31896864715461</c:v>
                </c:pt>
                <c:pt idx="92">
                  <c:v>121.67483574013562</c:v>
                </c:pt>
                <c:pt idx="93">
                  <c:v>122.44006418139442</c:v>
                </c:pt>
                <c:pt idx="94">
                  <c:v>119.11372872820118</c:v>
                </c:pt>
                <c:pt idx="95">
                  <c:v>123.19109190354052</c:v>
                </c:pt>
                <c:pt idx="96">
                  <c:v>123.05655106988512</c:v>
                </c:pt>
                <c:pt idx="97">
                  <c:v>120.5892859234274</c:v>
                </c:pt>
                <c:pt idx="98">
                  <c:v>126.12127121323917</c:v>
                </c:pt>
                <c:pt idx="99">
                  <c:v>123.11130435801039</c:v>
                </c:pt>
                <c:pt idx="100">
                  <c:v>123.22534930841036</c:v>
                </c:pt>
                <c:pt idx="101">
                  <c:v>128.00703887190659</c:v>
                </c:pt>
                <c:pt idx="102">
                  <c:v>128.08872960659619</c:v>
                </c:pt>
                <c:pt idx="103">
                  <c:v>127.1243982994273</c:v>
                </c:pt>
                <c:pt idx="104">
                  <c:v>127.88743075319444</c:v>
                </c:pt>
                <c:pt idx="105">
                  <c:v>122.62672311818513</c:v>
                </c:pt>
                <c:pt idx="106">
                  <c:v>120.80727428176571</c:v>
                </c:pt>
                <c:pt idx="107">
                  <c:v>124.69783212114827</c:v>
                </c:pt>
                <c:pt idx="108">
                  <c:v>124.13536652495227</c:v>
                </c:pt>
                <c:pt idx="109">
                  <c:v>121.05498167082442</c:v>
                </c:pt>
                <c:pt idx="110">
                  <c:v>122.99960179426822</c:v>
                </c:pt>
                <c:pt idx="111">
                  <c:v>115.93759881943714</c:v>
                </c:pt>
                <c:pt idx="112">
                  <c:v>112.7516601665437</c:v>
                </c:pt>
                <c:pt idx="113">
                  <c:v>121.91800475504493</c:v>
                </c:pt>
                <c:pt idx="114">
                  <c:v>116.63958282093627</c:v>
                </c:pt>
                <c:pt idx="115">
                  <c:v>122.78395582258766</c:v>
                </c:pt>
                <c:pt idx="116">
                  <c:v>124.03127671784785</c:v>
                </c:pt>
                <c:pt idx="117">
                  <c:v>123.28551936568171</c:v>
                </c:pt>
                <c:pt idx="118">
                  <c:v>123.72310647318554</c:v>
                </c:pt>
                <c:pt idx="119">
                  <c:v>124.54191700924073</c:v>
                </c:pt>
                <c:pt idx="120">
                  <c:v>127.78363374442219</c:v>
                </c:pt>
                <c:pt idx="121">
                  <c:v>136.16615719756862</c:v>
                </c:pt>
                <c:pt idx="122">
                  <c:v>136.90342339810033</c:v>
                </c:pt>
                <c:pt idx="123">
                  <c:v>136.7104692971669</c:v>
                </c:pt>
                <c:pt idx="124">
                  <c:v>139.56730262464424</c:v>
                </c:pt>
                <c:pt idx="125">
                  <c:v>138.40738203155198</c:v>
                </c:pt>
                <c:pt idx="126">
                  <c:v>138.67880608552053</c:v>
                </c:pt>
                <c:pt idx="127">
                  <c:v>138.20095920733638</c:v>
                </c:pt>
                <c:pt idx="128">
                  <c:v>141.20960847007015</c:v>
                </c:pt>
                <c:pt idx="129">
                  <c:v>141.9132028623965</c:v>
                </c:pt>
                <c:pt idx="130">
                  <c:v>138.58701380836936</c:v>
                </c:pt>
                <c:pt idx="131">
                  <c:v>138.61058407411312</c:v>
                </c:pt>
                <c:pt idx="132">
                  <c:v>142.1847733155312</c:v>
                </c:pt>
                <c:pt idx="133">
                  <c:v>150.46613494489534</c:v>
                </c:pt>
                <c:pt idx="134">
                  <c:v>151.06051555930338</c:v>
                </c:pt>
                <c:pt idx="135">
                  <c:v>150.03279341320871</c:v>
                </c:pt>
                <c:pt idx="136">
                  <c:v>152.75581790286122</c:v>
                </c:pt>
                <c:pt idx="137">
                  <c:v>151.6929599569001</c:v>
                </c:pt>
                <c:pt idx="138">
                  <c:v>151.21277069205814</c:v>
                </c:pt>
                <c:pt idx="139">
                  <c:v>152.14386938851999</c:v>
                </c:pt>
                <c:pt idx="140">
                  <c:v>154.41305646323039</c:v>
                </c:pt>
                <c:pt idx="141">
                  <c:v>156.08932691519391</c:v>
                </c:pt>
                <c:pt idx="142">
                  <c:v>158.77867959664101</c:v>
                </c:pt>
                <c:pt idx="143">
                  <c:v>162.30982748322268</c:v>
                </c:pt>
                <c:pt idx="144">
                  <c:v>159.13003759530585</c:v>
                </c:pt>
                <c:pt idx="145">
                  <c:v>159.38623613599898</c:v>
                </c:pt>
                <c:pt idx="146">
                  <c:v>157.44059121839243</c:v>
                </c:pt>
                <c:pt idx="147">
                  <c:v>155.79945656629542</c:v>
                </c:pt>
                <c:pt idx="148">
                  <c:v>153.11010388484829</c:v>
                </c:pt>
                <c:pt idx="149">
                  <c:v>153.64885281613437</c:v>
                </c:pt>
                <c:pt idx="150">
                  <c:v>154.38524062166942</c:v>
                </c:pt>
                <c:pt idx="151">
                  <c:v>153.69423655762859</c:v>
                </c:pt>
                <c:pt idx="152">
                  <c:v>148.76936860967643</c:v>
                </c:pt>
                <c:pt idx="153">
                  <c:v>152.6987222280782</c:v>
                </c:pt>
                <c:pt idx="154">
                  <c:v>160.96149116334635</c:v>
                </c:pt>
                <c:pt idx="155">
                  <c:v>160.91903540517433</c:v>
                </c:pt>
                <c:pt idx="156">
                  <c:v>158.91775880444587</c:v>
                </c:pt>
                <c:pt idx="157">
                  <c:v>155.14066031879884</c:v>
                </c:pt>
                <c:pt idx="158">
                  <c:v>154.082194347821</c:v>
                </c:pt>
                <c:pt idx="159">
                  <c:v>158.94118267102354</c:v>
                </c:pt>
                <c:pt idx="160">
                  <c:v>153.10278392654277</c:v>
                </c:pt>
                <c:pt idx="161">
                  <c:v>153.87430753194431</c:v>
                </c:pt>
                <c:pt idx="162">
                  <c:v>151.43090544956257</c:v>
                </c:pt>
                <c:pt idx="163">
                  <c:v>151.94476652260991</c:v>
                </c:pt>
                <c:pt idx="164">
                  <c:v>155.33683520138669</c:v>
                </c:pt>
                <c:pt idx="165">
                  <c:v>157.63823009264141</c:v>
                </c:pt>
                <c:pt idx="166">
                  <c:v>156.80229085415132</c:v>
                </c:pt>
                <c:pt idx="167">
                  <c:v>156.47582071372523</c:v>
                </c:pt>
                <c:pt idx="168">
                  <c:v>156.90037829544525</c:v>
                </c:pt>
                <c:pt idx="169">
                  <c:v>154.90202967803896</c:v>
                </c:pt>
                <c:pt idx="170">
                  <c:v>160.30123092418867</c:v>
                </c:pt>
                <c:pt idx="171">
                  <c:v>160.83997985547475</c:v>
                </c:pt>
                <c:pt idx="172">
                  <c:v>158.43464155628172</c:v>
                </c:pt>
                <c:pt idx="173">
                  <c:v>159.42869189417098</c:v>
                </c:pt>
                <c:pt idx="174">
                  <c:v>162.29372357495052</c:v>
                </c:pt>
                <c:pt idx="175">
                  <c:v>170.52867666865771</c:v>
                </c:pt>
                <c:pt idx="176">
                  <c:v>172.79200777672372</c:v>
                </c:pt>
                <c:pt idx="177">
                  <c:v>175.73023904055844</c:v>
                </c:pt>
                <c:pt idx="178">
                  <c:v>172.08929177939405</c:v>
                </c:pt>
                <c:pt idx="179">
                  <c:v>174.72008479439702</c:v>
                </c:pt>
                <c:pt idx="180">
                  <c:v>176.16797254722837</c:v>
                </c:pt>
                <c:pt idx="181">
                  <c:v>171.92678870501155</c:v>
                </c:pt>
                <c:pt idx="182">
                  <c:v>171.6881580642517</c:v>
                </c:pt>
                <c:pt idx="183">
                  <c:v>174.85184404389634</c:v>
                </c:pt>
                <c:pt idx="184">
                  <c:v>172.92669500954526</c:v>
                </c:pt>
                <c:pt idx="185">
                  <c:v>173.62648302355271</c:v>
                </c:pt>
                <c:pt idx="186">
                  <c:v>170.93273836712228</c:v>
                </c:pt>
                <c:pt idx="187">
                  <c:v>172.92376702622303</c:v>
                </c:pt>
                <c:pt idx="188">
                  <c:v>172.1624913624492</c:v>
                </c:pt>
                <c:pt idx="189">
                  <c:v>171.74818172235692</c:v>
                </c:pt>
                <c:pt idx="190">
                  <c:v>170.62090814330725</c:v>
                </c:pt>
                <c:pt idx="191">
                  <c:v>165.85561528641534</c:v>
                </c:pt>
                <c:pt idx="192">
                  <c:v>168.51276015131819</c:v>
                </c:pt>
                <c:pt idx="193">
                  <c:v>166.31823665132407</c:v>
                </c:pt>
                <c:pt idx="194">
                  <c:v>168.48055233477393</c:v>
                </c:pt>
                <c:pt idx="195">
                  <c:v>171.50955108159704</c:v>
                </c:pt>
                <c:pt idx="196">
                  <c:v>170.53014066031881</c:v>
                </c:pt>
                <c:pt idx="197">
                  <c:v>173.81094597285175</c:v>
                </c:pt>
                <c:pt idx="198">
                  <c:v>175.53699214129276</c:v>
                </c:pt>
                <c:pt idx="199">
                  <c:v>179.45463382640574</c:v>
                </c:pt>
                <c:pt idx="200">
                  <c:v>172.72027218532963</c:v>
                </c:pt>
                <c:pt idx="201">
                  <c:v>171.24896056592064</c:v>
                </c:pt>
                <c:pt idx="202">
                  <c:v>170.87564269233923</c:v>
                </c:pt>
                <c:pt idx="203">
                  <c:v>166.06057411896984</c:v>
                </c:pt>
                <c:pt idx="204">
                  <c:v>167.46600611362919</c:v>
                </c:pt>
                <c:pt idx="205">
                  <c:v>164.87327688181489</c:v>
                </c:pt>
                <c:pt idx="206">
                  <c:v>170.72631554290669</c:v>
                </c:pt>
                <c:pt idx="207">
                  <c:v>160.89121956361339</c:v>
                </c:pt>
                <c:pt idx="208">
                  <c:v>163.39171732077816</c:v>
                </c:pt>
                <c:pt idx="209">
                  <c:v>163.30680580443416</c:v>
                </c:pt>
                <c:pt idx="210">
                  <c:v>164.03587365166371</c:v>
                </c:pt>
                <c:pt idx="211">
                  <c:v>158.40096974807634</c:v>
                </c:pt>
                <c:pt idx="212">
                  <c:v>162.79294473138683</c:v>
                </c:pt>
                <c:pt idx="213">
                  <c:v>164.01684176006935</c:v>
                </c:pt>
                <c:pt idx="214">
                  <c:v>161.80328636848088</c:v>
                </c:pt>
                <c:pt idx="215">
                  <c:v>163.50298068702202</c:v>
                </c:pt>
                <c:pt idx="216">
                  <c:v>164.47653514165586</c:v>
                </c:pt>
                <c:pt idx="217">
                  <c:v>162.97447969736365</c:v>
                </c:pt>
                <c:pt idx="218">
                  <c:v>166.7179063748053</c:v>
                </c:pt>
                <c:pt idx="219">
                  <c:v>167.68414087113362</c:v>
                </c:pt>
                <c:pt idx="220">
                  <c:v>170.71899558460117</c:v>
                </c:pt>
                <c:pt idx="221">
                  <c:v>169.18180434044251</c:v>
                </c:pt>
                <c:pt idx="222">
                  <c:v>171.0630336249605</c:v>
                </c:pt>
                <c:pt idx="223">
                  <c:v>169.96357588747176</c:v>
                </c:pt>
                <c:pt idx="224">
                  <c:v>171.80966937212327</c:v>
                </c:pt>
                <c:pt idx="225">
                  <c:v>168.66647927573405</c:v>
                </c:pt>
                <c:pt idx="226">
                  <c:v>165.50279329608938</c:v>
                </c:pt>
                <c:pt idx="227">
                  <c:v>164.28475223405127</c:v>
                </c:pt>
                <c:pt idx="228">
                  <c:v>166.02690231076446</c:v>
                </c:pt>
                <c:pt idx="229">
                  <c:v>160.25877516601668</c:v>
                </c:pt>
                <c:pt idx="230">
                  <c:v>159.90156120070742</c:v>
                </c:pt>
                <c:pt idx="231">
                  <c:v>167.28739913097456</c:v>
                </c:pt>
                <c:pt idx="232">
                  <c:v>167.23469543117483</c:v>
                </c:pt>
                <c:pt idx="233">
                  <c:v>172.21958703723226</c:v>
                </c:pt>
                <c:pt idx="234">
                  <c:v>176.03914128105126</c:v>
                </c:pt>
                <c:pt idx="235">
                  <c:v>179.60103299251608</c:v>
                </c:pt>
                <c:pt idx="236">
                  <c:v>183.25222819530822</c:v>
                </c:pt>
                <c:pt idx="237">
                  <c:v>178.75484581239826</c:v>
                </c:pt>
                <c:pt idx="238">
                  <c:v>180.54237963060564</c:v>
                </c:pt>
                <c:pt idx="239">
                  <c:v>177.92476254055259</c:v>
                </c:pt>
                <c:pt idx="240">
                  <c:v>170.96641017532767</c:v>
                </c:pt>
                <c:pt idx="241">
                  <c:v>169.53609032242954</c:v>
                </c:pt>
                <c:pt idx="242">
                  <c:v>165.71800007027161</c:v>
                </c:pt>
                <c:pt idx="243">
                  <c:v>162.33617933312254</c:v>
                </c:pt>
                <c:pt idx="244">
                  <c:v>158.82406333813523</c:v>
                </c:pt>
                <c:pt idx="245">
                  <c:v>155.88583207430051</c:v>
                </c:pt>
                <c:pt idx="246">
                  <c:v>161.92772565967465</c:v>
                </c:pt>
                <c:pt idx="247">
                  <c:v>162.40205895787219</c:v>
                </c:pt>
                <c:pt idx="248">
                  <c:v>156.98528981178924</c:v>
                </c:pt>
                <c:pt idx="249">
                  <c:v>160.4403101319935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A-42A4-85FB-D8CD6823B211}"/>
            </c:ext>
          </c:extLst>
        </c:ser>
        <c:ser>
          <c:idx val="5"/>
          <c:order val="5"/>
          <c:tx>
            <c:strRef>
              <c:f>Calculation!$I$1</c:f>
              <c:strCache>
                <c:ptCount val="1"/>
                <c:pt idx="0">
                  <c:v>Portfolio_return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Calculation!$I$2:$I$251</c:f>
            </c:numRef>
          </c:val>
          <c:smooth val="0"/>
          <c:extLst>
            <c:ext xmlns:c16="http://schemas.microsoft.com/office/drawing/2014/chart" uri="{C3380CC4-5D6E-409C-BE32-E72D297353CC}">
              <c16:uniqueId val="{00000005-069A-42A4-85FB-D8CD6823B211}"/>
            </c:ext>
          </c:extLst>
        </c:ser>
        <c:ser>
          <c:idx val="6"/>
          <c:order val="6"/>
          <c:tx>
            <c:strRef>
              <c:f>Calculation!$J$1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tx1">
                  <a:alpha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Calculation!$C$2:$C$251</c:f>
              <c:strCache>
                <c:ptCount val="250"/>
                <c:pt idx="0">
                  <c:v>Oct 2024</c:v>
                </c:pt>
                <c:pt idx="1">
                  <c:v>Oct 2024</c:v>
                </c:pt>
                <c:pt idx="2">
                  <c:v>Oct 2024</c:v>
                </c:pt>
                <c:pt idx="3">
                  <c:v>Oct 2024</c:v>
                </c:pt>
                <c:pt idx="4">
                  <c:v>Oct 2024</c:v>
                </c:pt>
                <c:pt idx="5">
                  <c:v>Oct 2024</c:v>
                </c:pt>
                <c:pt idx="6">
                  <c:v>Nov 2024</c:v>
                </c:pt>
                <c:pt idx="7">
                  <c:v>Nov 2024</c:v>
                </c:pt>
                <c:pt idx="8">
                  <c:v>Nov 2024</c:v>
                </c:pt>
                <c:pt idx="9">
                  <c:v>Nov 2024</c:v>
                </c:pt>
                <c:pt idx="10">
                  <c:v>Nov 2024</c:v>
                </c:pt>
                <c:pt idx="11">
                  <c:v>Nov 2024</c:v>
                </c:pt>
                <c:pt idx="12">
                  <c:v>Nov 2024</c:v>
                </c:pt>
                <c:pt idx="13">
                  <c:v>Nov 2024</c:v>
                </c:pt>
                <c:pt idx="14">
                  <c:v>Nov 2024</c:v>
                </c:pt>
                <c:pt idx="15">
                  <c:v>Nov 2024</c:v>
                </c:pt>
                <c:pt idx="16">
                  <c:v>Nov 2024</c:v>
                </c:pt>
                <c:pt idx="17">
                  <c:v>Nov 2024</c:v>
                </c:pt>
                <c:pt idx="18">
                  <c:v>Nov 2024</c:v>
                </c:pt>
                <c:pt idx="19">
                  <c:v>Nov 2024</c:v>
                </c:pt>
                <c:pt idx="20">
                  <c:v>Nov 2024</c:v>
                </c:pt>
                <c:pt idx="21">
                  <c:v>Nov 2024</c:v>
                </c:pt>
                <c:pt idx="22">
                  <c:v>Nov 2024</c:v>
                </c:pt>
                <c:pt idx="23">
                  <c:v>Nov 2024</c:v>
                </c:pt>
                <c:pt idx="24">
                  <c:v>Nov 2024</c:v>
                </c:pt>
                <c:pt idx="25">
                  <c:v>Nov 2024</c:v>
                </c:pt>
                <c:pt idx="26">
                  <c:v>Dec 2024</c:v>
                </c:pt>
                <c:pt idx="27">
                  <c:v>Dec 2024</c:v>
                </c:pt>
                <c:pt idx="28">
                  <c:v>Dec 2024</c:v>
                </c:pt>
                <c:pt idx="29">
                  <c:v>Dec 2024</c:v>
                </c:pt>
                <c:pt idx="30">
                  <c:v>Dec 2024</c:v>
                </c:pt>
                <c:pt idx="31">
                  <c:v>Dec 2024</c:v>
                </c:pt>
                <c:pt idx="32">
                  <c:v>Dec 2024</c:v>
                </c:pt>
                <c:pt idx="33">
                  <c:v>Dec 2024</c:v>
                </c:pt>
                <c:pt idx="34">
                  <c:v>Dec 2024</c:v>
                </c:pt>
                <c:pt idx="35">
                  <c:v>Dec 2024</c:v>
                </c:pt>
                <c:pt idx="36">
                  <c:v>Dec 2024</c:v>
                </c:pt>
                <c:pt idx="37">
                  <c:v>Dec 2024</c:v>
                </c:pt>
                <c:pt idx="38">
                  <c:v>Dec 2024</c:v>
                </c:pt>
                <c:pt idx="39">
                  <c:v>Dec 2024</c:v>
                </c:pt>
                <c:pt idx="40">
                  <c:v>Dec 2024</c:v>
                </c:pt>
                <c:pt idx="41">
                  <c:v>Dec 2024</c:v>
                </c:pt>
                <c:pt idx="42">
                  <c:v>Dec 2024</c:v>
                </c:pt>
                <c:pt idx="43">
                  <c:v>Dec 2024</c:v>
                </c:pt>
                <c:pt idx="44">
                  <c:v>Dec 2024</c:v>
                </c:pt>
                <c:pt idx="45">
                  <c:v>Dec 2024</c:v>
                </c:pt>
                <c:pt idx="46">
                  <c:v>Dec 2024</c:v>
                </c:pt>
                <c:pt idx="47">
                  <c:v>Jan 2025</c:v>
                </c:pt>
                <c:pt idx="48">
                  <c:v>Jan 2025</c:v>
                </c:pt>
                <c:pt idx="49">
                  <c:v>Jan 2025</c:v>
                </c:pt>
                <c:pt idx="50">
                  <c:v>Jan 2025</c:v>
                </c:pt>
                <c:pt idx="51">
                  <c:v>Jan 2025</c:v>
                </c:pt>
                <c:pt idx="52">
                  <c:v>Jan 2025</c:v>
                </c:pt>
                <c:pt idx="53">
                  <c:v>Jan 2025</c:v>
                </c:pt>
                <c:pt idx="54">
                  <c:v>Jan 2025</c:v>
                </c:pt>
                <c:pt idx="55">
                  <c:v>Jan 2025</c:v>
                </c:pt>
                <c:pt idx="56">
                  <c:v>Jan 2025</c:v>
                </c:pt>
                <c:pt idx="57">
                  <c:v>Jan 2025</c:v>
                </c:pt>
                <c:pt idx="58">
                  <c:v>Jan 2025</c:v>
                </c:pt>
                <c:pt idx="59">
                  <c:v>Jan 2025</c:v>
                </c:pt>
                <c:pt idx="60">
                  <c:v>Jan 2025</c:v>
                </c:pt>
                <c:pt idx="61">
                  <c:v>Jan 2025</c:v>
                </c:pt>
                <c:pt idx="62">
                  <c:v>Jan 2025</c:v>
                </c:pt>
                <c:pt idx="63">
                  <c:v>Jan 2025</c:v>
                </c:pt>
                <c:pt idx="64">
                  <c:v>Jan 2025</c:v>
                </c:pt>
                <c:pt idx="65">
                  <c:v>Jan 2025</c:v>
                </c:pt>
                <c:pt idx="66">
                  <c:v>Jan 2025</c:v>
                </c:pt>
                <c:pt idx="67">
                  <c:v>Feb 2025</c:v>
                </c:pt>
                <c:pt idx="68">
                  <c:v>Feb 2025</c:v>
                </c:pt>
                <c:pt idx="69">
                  <c:v>Feb 2025</c:v>
                </c:pt>
                <c:pt idx="70">
                  <c:v>Feb 2025</c:v>
                </c:pt>
                <c:pt idx="71">
                  <c:v>Feb 2025</c:v>
                </c:pt>
                <c:pt idx="72">
                  <c:v>Feb 2025</c:v>
                </c:pt>
                <c:pt idx="73">
                  <c:v>Feb 2025</c:v>
                </c:pt>
                <c:pt idx="74">
                  <c:v>Feb 2025</c:v>
                </c:pt>
                <c:pt idx="75">
                  <c:v>Feb 2025</c:v>
                </c:pt>
                <c:pt idx="76">
                  <c:v>Feb 2025</c:v>
                </c:pt>
                <c:pt idx="77">
                  <c:v>Feb 2025</c:v>
                </c:pt>
                <c:pt idx="78">
                  <c:v>Feb 2025</c:v>
                </c:pt>
                <c:pt idx="79">
                  <c:v>Feb 2025</c:v>
                </c:pt>
                <c:pt idx="80">
                  <c:v>Feb 2025</c:v>
                </c:pt>
                <c:pt idx="81">
                  <c:v>Feb 2025</c:v>
                </c:pt>
                <c:pt idx="82">
                  <c:v>Feb 2025</c:v>
                </c:pt>
                <c:pt idx="83">
                  <c:v>Feb 2025</c:v>
                </c:pt>
                <c:pt idx="84">
                  <c:v>Feb 2025</c:v>
                </c:pt>
                <c:pt idx="85">
                  <c:v>Feb 2025</c:v>
                </c:pt>
                <c:pt idx="86">
                  <c:v>Mar 2025</c:v>
                </c:pt>
                <c:pt idx="87">
                  <c:v>Mar 2025</c:v>
                </c:pt>
                <c:pt idx="88">
                  <c:v>Mar 2025</c:v>
                </c:pt>
                <c:pt idx="89">
                  <c:v>Mar 2025</c:v>
                </c:pt>
                <c:pt idx="90">
                  <c:v>Mar 2025</c:v>
                </c:pt>
                <c:pt idx="91">
                  <c:v>Mar 2025</c:v>
                </c:pt>
                <c:pt idx="92">
                  <c:v>Mar 2025</c:v>
                </c:pt>
                <c:pt idx="93">
                  <c:v>Mar 2025</c:v>
                </c:pt>
                <c:pt idx="94">
                  <c:v>Mar 2025</c:v>
                </c:pt>
                <c:pt idx="95">
                  <c:v>Mar 2025</c:v>
                </c:pt>
                <c:pt idx="96">
                  <c:v>Mar 2025</c:v>
                </c:pt>
                <c:pt idx="97">
                  <c:v>Mar 2025</c:v>
                </c:pt>
                <c:pt idx="98">
                  <c:v>Mar 2025</c:v>
                </c:pt>
                <c:pt idx="99">
                  <c:v>Mar 2025</c:v>
                </c:pt>
                <c:pt idx="100">
                  <c:v>Mar 2025</c:v>
                </c:pt>
                <c:pt idx="101">
                  <c:v>Mar 2025</c:v>
                </c:pt>
                <c:pt idx="102">
                  <c:v>Mar 2025</c:v>
                </c:pt>
                <c:pt idx="103">
                  <c:v>Mar 2025</c:v>
                </c:pt>
                <c:pt idx="104">
                  <c:v>Mar 2025</c:v>
                </c:pt>
                <c:pt idx="105">
                  <c:v>Mar 2025</c:v>
                </c:pt>
                <c:pt idx="106">
                  <c:v>Mar 2025</c:v>
                </c:pt>
                <c:pt idx="107">
                  <c:v>Apr 2025</c:v>
                </c:pt>
                <c:pt idx="108">
                  <c:v>Apr 2025</c:v>
                </c:pt>
                <c:pt idx="109">
                  <c:v>Apr 2025</c:v>
                </c:pt>
                <c:pt idx="110">
                  <c:v>Apr 2025</c:v>
                </c:pt>
                <c:pt idx="111">
                  <c:v>Apr 2025</c:v>
                </c:pt>
                <c:pt idx="112">
                  <c:v>Apr 2025</c:v>
                </c:pt>
                <c:pt idx="113">
                  <c:v>Apr 2025</c:v>
                </c:pt>
                <c:pt idx="114">
                  <c:v>Apr 2025</c:v>
                </c:pt>
                <c:pt idx="115">
                  <c:v>Apr 2025</c:v>
                </c:pt>
                <c:pt idx="116">
                  <c:v>Apr 2025</c:v>
                </c:pt>
                <c:pt idx="117">
                  <c:v>Apr 2025</c:v>
                </c:pt>
                <c:pt idx="118">
                  <c:v>Apr 2025</c:v>
                </c:pt>
                <c:pt idx="119">
                  <c:v>Apr 2025</c:v>
                </c:pt>
                <c:pt idx="120">
                  <c:v>Apr 2025</c:v>
                </c:pt>
                <c:pt idx="121">
                  <c:v>Apr 2025</c:v>
                </c:pt>
                <c:pt idx="122">
                  <c:v>Apr 2025</c:v>
                </c:pt>
                <c:pt idx="123">
                  <c:v>Apr 2025</c:v>
                </c:pt>
                <c:pt idx="124">
                  <c:v>Apr 2025</c:v>
                </c:pt>
                <c:pt idx="125">
                  <c:v>Apr 2025</c:v>
                </c:pt>
                <c:pt idx="126">
                  <c:v>Apr 2025</c:v>
                </c:pt>
                <c:pt idx="127">
                  <c:v>Apr 2025</c:v>
                </c:pt>
                <c:pt idx="128">
                  <c:v>May 2025</c:v>
                </c:pt>
                <c:pt idx="129">
                  <c:v>May 2025</c:v>
                </c:pt>
                <c:pt idx="130">
                  <c:v>May 2025</c:v>
                </c:pt>
                <c:pt idx="131">
                  <c:v>May 2025</c:v>
                </c:pt>
                <c:pt idx="132">
                  <c:v>May 2025</c:v>
                </c:pt>
                <c:pt idx="133">
                  <c:v>May 2025</c:v>
                </c:pt>
                <c:pt idx="134">
                  <c:v>May 2025</c:v>
                </c:pt>
                <c:pt idx="135">
                  <c:v>May 2025</c:v>
                </c:pt>
                <c:pt idx="136">
                  <c:v>May 2025</c:v>
                </c:pt>
                <c:pt idx="137">
                  <c:v>May 2025</c:v>
                </c:pt>
                <c:pt idx="138">
                  <c:v>May 2025</c:v>
                </c:pt>
                <c:pt idx="139">
                  <c:v>May 2025</c:v>
                </c:pt>
                <c:pt idx="140">
                  <c:v>May 2025</c:v>
                </c:pt>
                <c:pt idx="141">
                  <c:v>May 2025</c:v>
                </c:pt>
                <c:pt idx="142">
                  <c:v>May 2025</c:v>
                </c:pt>
                <c:pt idx="143">
                  <c:v>May 2025</c:v>
                </c:pt>
                <c:pt idx="144">
                  <c:v>May 2025</c:v>
                </c:pt>
                <c:pt idx="145">
                  <c:v>May 2025</c:v>
                </c:pt>
                <c:pt idx="146">
                  <c:v>May 2025</c:v>
                </c:pt>
                <c:pt idx="147">
                  <c:v>May 2025</c:v>
                </c:pt>
                <c:pt idx="148">
                  <c:v>May 2025</c:v>
                </c:pt>
                <c:pt idx="149">
                  <c:v>Jun 2025</c:v>
                </c:pt>
                <c:pt idx="150">
                  <c:v>Jun 2025</c:v>
                </c:pt>
                <c:pt idx="151">
                  <c:v>Jun 2025</c:v>
                </c:pt>
                <c:pt idx="152">
                  <c:v>Jun 2025</c:v>
                </c:pt>
                <c:pt idx="153">
                  <c:v>Jun 2025</c:v>
                </c:pt>
                <c:pt idx="154">
                  <c:v>Jun 2025</c:v>
                </c:pt>
                <c:pt idx="155">
                  <c:v>Jun 2025</c:v>
                </c:pt>
                <c:pt idx="156">
                  <c:v>Jun 2025</c:v>
                </c:pt>
                <c:pt idx="157">
                  <c:v>Jun 2025</c:v>
                </c:pt>
                <c:pt idx="158">
                  <c:v>Jun 2025</c:v>
                </c:pt>
                <c:pt idx="159">
                  <c:v>Jun 2025</c:v>
                </c:pt>
                <c:pt idx="160">
                  <c:v>Jun 2025</c:v>
                </c:pt>
                <c:pt idx="161">
                  <c:v>Jun 2025</c:v>
                </c:pt>
                <c:pt idx="162">
                  <c:v>Jun 2025</c:v>
                </c:pt>
                <c:pt idx="163">
                  <c:v>Jun 2025</c:v>
                </c:pt>
                <c:pt idx="164">
                  <c:v>Jun 2025</c:v>
                </c:pt>
                <c:pt idx="165">
                  <c:v>Jun 2025</c:v>
                </c:pt>
                <c:pt idx="166">
                  <c:v>Jun 2025</c:v>
                </c:pt>
                <c:pt idx="167">
                  <c:v>Jun 2025</c:v>
                </c:pt>
                <c:pt idx="168">
                  <c:v>Jun 2025</c:v>
                </c:pt>
                <c:pt idx="169">
                  <c:v>Jul 2025</c:v>
                </c:pt>
                <c:pt idx="170">
                  <c:v>Jul 2025</c:v>
                </c:pt>
                <c:pt idx="171">
                  <c:v>Jul 2025</c:v>
                </c:pt>
                <c:pt idx="172">
                  <c:v>Jul 2025</c:v>
                </c:pt>
                <c:pt idx="173">
                  <c:v>Jul 2025</c:v>
                </c:pt>
                <c:pt idx="174">
                  <c:v>Jul 2025</c:v>
                </c:pt>
                <c:pt idx="175">
                  <c:v>Jul 2025</c:v>
                </c:pt>
                <c:pt idx="176">
                  <c:v>Jul 2025</c:v>
                </c:pt>
                <c:pt idx="177">
                  <c:v>Jul 2025</c:v>
                </c:pt>
                <c:pt idx="178">
                  <c:v>Jul 2025</c:v>
                </c:pt>
                <c:pt idx="179">
                  <c:v>Jul 2025</c:v>
                </c:pt>
                <c:pt idx="180">
                  <c:v>Jul 2025</c:v>
                </c:pt>
                <c:pt idx="181">
                  <c:v>Jul 2025</c:v>
                </c:pt>
                <c:pt idx="182">
                  <c:v>Jul 2025</c:v>
                </c:pt>
                <c:pt idx="183">
                  <c:v>Jul 2025</c:v>
                </c:pt>
                <c:pt idx="184">
                  <c:v>Jul 2025</c:v>
                </c:pt>
                <c:pt idx="185">
                  <c:v>Jul 2025</c:v>
                </c:pt>
                <c:pt idx="186">
                  <c:v>Jul 2025</c:v>
                </c:pt>
                <c:pt idx="187">
                  <c:v>Jul 2025</c:v>
                </c:pt>
                <c:pt idx="188">
                  <c:v>Jul 2025</c:v>
                </c:pt>
                <c:pt idx="189">
                  <c:v>Jul 2025</c:v>
                </c:pt>
                <c:pt idx="190">
                  <c:v>Jul 2025</c:v>
                </c:pt>
                <c:pt idx="191">
                  <c:v>Aug 2025</c:v>
                </c:pt>
                <c:pt idx="192">
                  <c:v>Aug 2025</c:v>
                </c:pt>
                <c:pt idx="193">
                  <c:v>Aug 2025</c:v>
                </c:pt>
                <c:pt idx="194">
                  <c:v>Aug 2025</c:v>
                </c:pt>
                <c:pt idx="195">
                  <c:v>Aug 2025</c:v>
                </c:pt>
                <c:pt idx="196">
                  <c:v>Aug 2025</c:v>
                </c:pt>
                <c:pt idx="197">
                  <c:v>Aug 2025</c:v>
                </c:pt>
                <c:pt idx="198">
                  <c:v>Aug 2025</c:v>
                </c:pt>
                <c:pt idx="199">
                  <c:v>Aug 2025</c:v>
                </c:pt>
                <c:pt idx="200">
                  <c:v>Aug 2025</c:v>
                </c:pt>
                <c:pt idx="201">
                  <c:v>Aug 2025</c:v>
                </c:pt>
                <c:pt idx="202">
                  <c:v>Aug 2025</c:v>
                </c:pt>
                <c:pt idx="203">
                  <c:v>Aug 2025</c:v>
                </c:pt>
                <c:pt idx="204">
                  <c:v>Aug 2025</c:v>
                </c:pt>
                <c:pt idx="205">
                  <c:v>Aug 2025</c:v>
                </c:pt>
                <c:pt idx="206">
                  <c:v>Aug 2025</c:v>
                </c:pt>
                <c:pt idx="207">
                  <c:v>Aug 2025</c:v>
                </c:pt>
                <c:pt idx="208">
                  <c:v>Aug 2025</c:v>
                </c:pt>
                <c:pt idx="209">
                  <c:v>Aug 2025</c:v>
                </c:pt>
                <c:pt idx="210">
                  <c:v>Aug 2025</c:v>
                </c:pt>
                <c:pt idx="211">
                  <c:v>Aug 2025</c:v>
                </c:pt>
                <c:pt idx="212">
                  <c:v>Sep 2025</c:v>
                </c:pt>
                <c:pt idx="213">
                  <c:v>Sep 2025</c:v>
                </c:pt>
                <c:pt idx="214">
                  <c:v>Sep 2025</c:v>
                </c:pt>
                <c:pt idx="215">
                  <c:v>Sep 2025</c:v>
                </c:pt>
                <c:pt idx="216">
                  <c:v>Sep 2025</c:v>
                </c:pt>
                <c:pt idx="217">
                  <c:v>Sep 2025</c:v>
                </c:pt>
                <c:pt idx="218">
                  <c:v>Sep 2025</c:v>
                </c:pt>
                <c:pt idx="219">
                  <c:v>Sep 2025</c:v>
                </c:pt>
                <c:pt idx="220">
                  <c:v>Sep 2025</c:v>
                </c:pt>
                <c:pt idx="221">
                  <c:v>Sep 2025</c:v>
                </c:pt>
                <c:pt idx="222">
                  <c:v>Sep 2025</c:v>
                </c:pt>
                <c:pt idx="223">
                  <c:v>Sep 2025</c:v>
                </c:pt>
                <c:pt idx="224">
                  <c:v>Sep 2025</c:v>
                </c:pt>
                <c:pt idx="225">
                  <c:v>Sep 2025</c:v>
                </c:pt>
                <c:pt idx="226">
                  <c:v>Sep 2025</c:v>
                </c:pt>
                <c:pt idx="227">
                  <c:v>Sep 2025</c:v>
                </c:pt>
                <c:pt idx="228">
                  <c:v>Sep 2025</c:v>
                </c:pt>
                <c:pt idx="229">
                  <c:v>Sep 2025</c:v>
                </c:pt>
                <c:pt idx="230">
                  <c:v>Sep 2025</c:v>
                </c:pt>
                <c:pt idx="231">
                  <c:v>Sep 2025</c:v>
                </c:pt>
                <c:pt idx="232">
                  <c:v>Sep 2025</c:v>
                </c:pt>
                <c:pt idx="233">
                  <c:v>Oct 2025</c:v>
                </c:pt>
                <c:pt idx="234">
                  <c:v>Oct 2025</c:v>
                </c:pt>
                <c:pt idx="235">
                  <c:v>Oct 2025</c:v>
                </c:pt>
                <c:pt idx="236">
                  <c:v>Oct 2025</c:v>
                </c:pt>
                <c:pt idx="237">
                  <c:v>Oct 2025</c:v>
                </c:pt>
                <c:pt idx="238">
                  <c:v>Oct 2025</c:v>
                </c:pt>
                <c:pt idx="239">
                  <c:v>Oct 2025</c:v>
                </c:pt>
                <c:pt idx="240">
                  <c:v>Oct 2025</c:v>
                </c:pt>
                <c:pt idx="241">
                  <c:v>Oct 2025</c:v>
                </c:pt>
                <c:pt idx="242">
                  <c:v>Oct 2025</c:v>
                </c:pt>
                <c:pt idx="243">
                  <c:v>Oct 2025</c:v>
                </c:pt>
                <c:pt idx="244">
                  <c:v>Oct 2025</c:v>
                </c:pt>
                <c:pt idx="245">
                  <c:v>Oct 2025</c:v>
                </c:pt>
                <c:pt idx="246">
                  <c:v>Oct 2025</c:v>
                </c:pt>
                <c:pt idx="247">
                  <c:v>Oct 2025</c:v>
                </c:pt>
                <c:pt idx="248">
                  <c:v>Oct 2025</c:v>
                </c:pt>
                <c:pt idx="249">
                  <c:v>Oct 2025</c:v>
                </c:pt>
              </c:strCache>
            </c:strRef>
          </c:cat>
          <c:val>
            <c:numRef>
              <c:f>Calculation!$J$2:$J$251</c:f>
              <c:numCache>
                <c:formatCode>0.00</c:formatCode>
                <c:ptCount val="250"/>
                <c:pt idx="0" formatCode="General">
                  <c:v>100</c:v>
                </c:pt>
                <c:pt idx="1">
                  <c:v>99.537454502623277</c:v>
                </c:pt>
                <c:pt idx="2">
                  <c:v>101.18756945124295</c:v>
                </c:pt>
                <c:pt idx="3">
                  <c:v>102.87583343797435</c:v>
                </c:pt>
                <c:pt idx="4">
                  <c:v>102.49286197115411</c:v>
                </c:pt>
                <c:pt idx="5">
                  <c:v>100.47344981948712</c:v>
                </c:pt>
                <c:pt idx="6">
                  <c:v>99.426164482139399</c:v>
                </c:pt>
                <c:pt idx="7">
                  <c:v>98.744694469484259</c:v>
                </c:pt>
                <c:pt idx="8">
                  <c:v>99.784460364703122</c:v>
                </c:pt>
                <c:pt idx="9">
                  <c:v>101.07454401654033</c:v>
                </c:pt>
                <c:pt idx="10">
                  <c:v>102.53384015311713</c:v>
                </c:pt>
                <c:pt idx="11">
                  <c:v>102.48582953874858</c:v>
                </c:pt>
                <c:pt idx="12">
                  <c:v>105.7115996591595</c:v>
                </c:pt>
                <c:pt idx="13">
                  <c:v>105.54629340685527</c:v>
                </c:pt>
                <c:pt idx="14">
                  <c:v>105.66989365185069</c:v>
                </c:pt>
                <c:pt idx="15">
                  <c:v>105.24714425923976</c:v>
                </c:pt>
                <c:pt idx="16">
                  <c:v>106.04022456901322</c:v>
                </c:pt>
                <c:pt idx="17">
                  <c:v>107.27196028229086</c:v>
                </c:pt>
                <c:pt idx="18">
                  <c:v>107.89153565122169</c:v>
                </c:pt>
                <c:pt idx="19">
                  <c:v>109.09266586344087</c:v>
                </c:pt>
                <c:pt idx="20">
                  <c:v>110.8028111786758</c:v>
                </c:pt>
                <c:pt idx="21">
                  <c:v>111.85916091721307</c:v>
                </c:pt>
                <c:pt idx="22">
                  <c:v>109.33287274481491</c:v>
                </c:pt>
                <c:pt idx="23">
                  <c:v>108.86450946236087</c:v>
                </c:pt>
                <c:pt idx="24">
                  <c:v>110.44957652863404</c:v>
                </c:pt>
                <c:pt idx="25">
                  <c:v>111.45907017261679</c:v>
                </c:pt>
                <c:pt idx="26">
                  <c:v>110.9101769270646</c:v>
                </c:pt>
                <c:pt idx="27">
                  <c:v>111.67238209764682</c:v>
                </c:pt>
                <c:pt idx="28">
                  <c:v>112.58391413905463</c:v>
                </c:pt>
                <c:pt idx="29">
                  <c:v>111.73925398781203</c:v>
                </c:pt>
                <c:pt idx="30">
                  <c:v>113.36769984251082</c:v>
                </c:pt>
                <c:pt idx="31">
                  <c:v>112.88926164134688</c:v>
                </c:pt>
                <c:pt idx="32">
                  <c:v>113.56555824782944</c:v>
                </c:pt>
                <c:pt idx="33">
                  <c:v>115.3281193278326</c:v>
                </c:pt>
                <c:pt idx="34">
                  <c:v>114.63385244066468</c:v>
                </c:pt>
                <c:pt idx="35">
                  <c:v>114.48884548094762</c:v>
                </c:pt>
                <c:pt idx="36">
                  <c:v>116.40205134546689</c:v>
                </c:pt>
                <c:pt idx="37">
                  <c:v>116.68010946382326</c:v>
                </c:pt>
                <c:pt idx="38">
                  <c:v>113.24030851479506</c:v>
                </c:pt>
                <c:pt idx="39">
                  <c:v>112.66403618605273</c:v>
                </c:pt>
                <c:pt idx="40">
                  <c:v>113.17897923695755</c:v>
                </c:pt>
                <c:pt idx="41">
                  <c:v>112.62771905885018</c:v>
                </c:pt>
                <c:pt idx="42">
                  <c:v>114.37088579242817</c:v>
                </c:pt>
                <c:pt idx="43">
                  <c:v>113.74603658614004</c:v>
                </c:pt>
                <c:pt idx="44">
                  <c:v>112.54812578756086</c:v>
                </c:pt>
                <c:pt idx="45">
                  <c:v>111.26047685628865</c:v>
                </c:pt>
                <c:pt idx="46">
                  <c:v>111.59672974962268</c:v>
                </c:pt>
                <c:pt idx="47">
                  <c:v>112.5415331121979</c:v>
                </c:pt>
                <c:pt idx="48">
                  <c:v>112.65898970920694</c:v>
                </c:pt>
                <c:pt idx="49">
                  <c:v>114.13466914154517</c:v>
                </c:pt>
                <c:pt idx="50">
                  <c:v>112.31550713310736</c:v>
                </c:pt>
                <c:pt idx="51">
                  <c:v>111.96255263328666</c:v>
                </c:pt>
                <c:pt idx="52">
                  <c:v>111.40528073573007</c:v>
                </c:pt>
                <c:pt idx="53">
                  <c:v>110.51269493421194</c:v>
                </c:pt>
                <c:pt idx="54">
                  <c:v>111.40963939970055</c:v>
                </c:pt>
                <c:pt idx="55">
                  <c:v>113.43034754824629</c:v>
                </c:pt>
                <c:pt idx="56">
                  <c:v>112.39910250199863</c:v>
                </c:pt>
                <c:pt idx="57">
                  <c:v>114.08889016570521</c:v>
                </c:pt>
                <c:pt idx="58">
                  <c:v>114.15237184750026</c:v>
                </c:pt>
                <c:pt idx="59">
                  <c:v>113.81278160767849</c:v>
                </c:pt>
                <c:pt idx="60">
                  <c:v>113.82685025281594</c:v>
                </c:pt>
                <c:pt idx="61">
                  <c:v>114.2968104768013</c:v>
                </c:pt>
                <c:pt idx="62">
                  <c:v>113.77446200846583</c:v>
                </c:pt>
                <c:pt idx="63">
                  <c:v>115.26584129027476</c:v>
                </c:pt>
                <c:pt idx="64">
                  <c:v>116.13644146147045</c:v>
                </c:pt>
                <c:pt idx="65">
                  <c:v>117.0099381824075</c:v>
                </c:pt>
                <c:pt idx="66">
                  <c:v>115.71761491148904</c:v>
                </c:pt>
                <c:pt idx="67">
                  <c:v>114.80935367016222</c:v>
                </c:pt>
                <c:pt idx="68">
                  <c:v>114.6193258903397</c:v>
                </c:pt>
                <c:pt idx="69">
                  <c:v>114.54179325507597</c:v>
                </c:pt>
                <c:pt idx="70">
                  <c:v>114.64021846438222</c:v>
                </c:pt>
                <c:pt idx="71">
                  <c:v>113.52616535047625</c:v>
                </c:pt>
                <c:pt idx="72">
                  <c:v>114.85446601940477</c:v>
                </c:pt>
                <c:pt idx="73">
                  <c:v>114.77278668640405</c:v>
                </c:pt>
                <c:pt idx="74">
                  <c:v>116.32394119177553</c:v>
                </c:pt>
                <c:pt idx="75">
                  <c:v>116.8788536372136</c:v>
                </c:pt>
                <c:pt idx="76">
                  <c:v>116.92686085979203</c:v>
                </c:pt>
                <c:pt idx="77">
                  <c:v>117.03980025247776</c:v>
                </c:pt>
                <c:pt idx="78">
                  <c:v>117.52441674534732</c:v>
                </c:pt>
                <c:pt idx="79">
                  <c:v>118.36303588384187</c:v>
                </c:pt>
                <c:pt idx="80">
                  <c:v>117.15849004804886</c:v>
                </c:pt>
                <c:pt idx="81">
                  <c:v>116.67580965085682</c:v>
                </c:pt>
                <c:pt idx="82">
                  <c:v>114.65223155572441</c:v>
                </c:pt>
                <c:pt idx="83">
                  <c:v>111.99950298123849</c:v>
                </c:pt>
                <c:pt idx="84">
                  <c:v>111.12140604067787</c:v>
                </c:pt>
                <c:pt idx="85">
                  <c:v>111.22974512037898</c:v>
                </c:pt>
                <c:pt idx="86">
                  <c:v>112.2646813551267</c:v>
                </c:pt>
                <c:pt idx="87">
                  <c:v>112.70142227838464</c:v>
                </c:pt>
                <c:pt idx="88">
                  <c:v>113.84834393587725</c:v>
                </c:pt>
                <c:pt idx="89">
                  <c:v>113.60725715784417</c:v>
                </c:pt>
                <c:pt idx="90">
                  <c:v>113.14245248945997</c:v>
                </c:pt>
                <c:pt idx="91">
                  <c:v>107.92432567667974</c:v>
                </c:pt>
                <c:pt idx="92">
                  <c:v>108.95682044205901</c:v>
                </c:pt>
                <c:pt idx="93">
                  <c:v>108.89954228449916</c:v>
                </c:pt>
                <c:pt idx="94">
                  <c:v>107.64176272618977</c:v>
                </c:pt>
                <c:pt idx="95">
                  <c:v>109.30107409327589</c:v>
                </c:pt>
                <c:pt idx="96">
                  <c:v>109.56680709566479</c:v>
                </c:pt>
                <c:pt idx="97">
                  <c:v>109.20708060669418</c:v>
                </c:pt>
                <c:pt idx="98">
                  <c:v>111.32825244659288</c:v>
                </c:pt>
                <c:pt idx="99">
                  <c:v>110.29004633332768</c:v>
                </c:pt>
                <c:pt idx="100">
                  <c:v>110.64691136656226</c:v>
                </c:pt>
                <c:pt idx="101">
                  <c:v>112.12936290987446</c:v>
                </c:pt>
                <c:pt idx="102">
                  <c:v>112.75791913834327</c:v>
                </c:pt>
                <c:pt idx="103">
                  <c:v>112.13626926704352</c:v>
                </c:pt>
                <c:pt idx="104">
                  <c:v>113.22382282173805</c:v>
                </c:pt>
                <c:pt idx="105">
                  <c:v>111.36886623439993</c:v>
                </c:pt>
                <c:pt idx="106">
                  <c:v>112.07076766518844</c:v>
                </c:pt>
                <c:pt idx="107">
                  <c:v>113.18601115994478</c:v>
                </c:pt>
                <c:pt idx="108">
                  <c:v>113.44760970634235</c:v>
                </c:pt>
                <c:pt idx="109">
                  <c:v>109.15492135206738</c:v>
                </c:pt>
                <c:pt idx="110">
                  <c:v>106.19585124879323</c:v>
                </c:pt>
                <c:pt idx="111">
                  <c:v>102.45282145380934</c:v>
                </c:pt>
                <c:pt idx="112">
                  <c:v>100.07150982388318</c:v>
                </c:pt>
                <c:pt idx="113">
                  <c:v>108.45747373691636</c:v>
                </c:pt>
                <c:pt idx="114">
                  <c:v>106.97338010282748</c:v>
                </c:pt>
                <c:pt idx="115">
                  <c:v>110.71283533832549</c:v>
                </c:pt>
                <c:pt idx="116">
                  <c:v>111.50484446844547</c:v>
                </c:pt>
                <c:pt idx="117">
                  <c:v>111.50988752980598</c:v>
                </c:pt>
                <c:pt idx="118">
                  <c:v>111.88646514176173</c:v>
                </c:pt>
                <c:pt idx="119">
                  <c:v>112.36679365161405</c:v>
                </c:pt>
                <c:pt idx="120">
                  <c:v>113.90133913426962</c:v>
                </c:pt>
                <c:pt idx="121">
                  <c:v>116.73155095041054</c:v>
                </c:pt>
                <c:pt idx="122">
                  <c:v>116.4912937776207</c:v>
                </c:pt>
                <c:pt idx="123">
                  <c:v>117.95412725805704</c:v>
                </c:pt>
                <c:pt idx="124">
                  <c:v>118.21976543410553</c:v>
                </c:pt>
                <c:pt idx="125">
                  <c:v>118.62733844124813</c:v>
                </c:pt>
                <c:pt idx="126">
                  <c:v>118.50030708616693</c:v>
                </c:pt>
                <c:pt idx="127">
                  <c:v>118.18277357895121</c:v>
                </c:pt>
                <c:pt idx="128">
                  <c:v>118.38056367231549</c:v>
                </c:pt>
                <c:pt idx="129">
                  <c:v>117.15345572955164</c:v>
                </c:pt>
                <c:pt idx="130">
                  <c:v>116.6767757226613</c:v>
                </c:pt>
                <c:pt idx="131">
                  <c:v>117.98563162836111</c:v>
                </c:pt>
                <c:pt idx="132">
                  <c:v>117.57011876704092</c:v>
                </c:pt>
                <c:pt idx="133">
                  <c:v>119.02295214820495</c:v>
                </c:pt>
                <c:pt idx="134">
                  <c:v>119.68957308498794</c:v>
                </c:pt>
                <c:pt idx="135">
                  <c:v>120.32474613585764</c:v>
                </c:pt>
                <c:pt idx="136">
                  <c:v>121.55921074377801</c:v>
                </c:pt>
                <c:pt idx="137">
                  <c:v>120.11518793055788</c:v>
                </c:pt>
                <c:pt idx="138">
                  <c:v>120.79378608862514</c:v>
                </c:pt>
                <c:pt idx="139">
                  <c:v>120.27790478728427</c:v>
                </c:pt>
                <c:pt idx="140">
                  <c:v>120.95453804212534</c:v>
                </c:pt>
                <c:pt idx="141">
                  <c:v>121.91700126118799</c:v>
                </c:pt>
                <c:pt idx="142">
                  <c:v>122.08095296889039</c:v>
                </c:pt>
                <c:pt idx="143">
                  <c:v>122.45849448986463</c:v>
                </c:pt>
                <c:pt idx="144">
                  <c:v>121.61135486623574</c:v>
                </c:pt>
                <c:pt idx="145">
                  <c:v>121.7216768725242</c:v>
                </c:pt>
                <c:pt idx="146">
                  <c:v>121.11980003996118</c:v>
                </c:pt>
                <c:pt idx="147">
                  <c:v>121.10081033101194</c:v>
                </c:pt>
                <c:pt idx="148">
                  <c:v>120.30396197630172</c:v>
                </c:pt>
                <c:pt idx="149">
                  <c:v>121.85030378791723</c:v>
                </c:pt>
                <c:pt idx="150">
                  <c:v>121.90401791169728</c:v>
                </c:pt>
                <c:pt idx="151">
                  <c:v>121.93920578132926</c:v>
                </c:pt>
                <c:pt idx="152">
                  <c:v>120.0845743719274</c:v>
                </c:pt>
                <c:pt idx="153">
                  <c:v>121.04827527799596</c:v>
                </c:pt>
                <c:pt idx="154">
                  <c:v>122.7668354010314</c:v>
                </c:pt>
                <c:pt idx="155">
                  <c:v>122.94413818933842</c:v>
                </c:pt>
                <c:pt idx="156">
                  <c:v>122.24883172331373</c:v>
                </c:pt>
                <c:pt idx="157">
                  <c:v>121.90362825583286</c:v>
                </c:pt>
                <c:pt idx="158">
                  <c:v>121.82107146317297</c:v>
                </c:pt>
                <c:pt idx="159">
                  <c:v>122.66871556361413</c:v>
                </c:pt>
                <c:pt idx="160">
                  <c:v>120.85045042349768</c:v>
                </c:pt>
                <c:pt idx="161">
                  <c:v>120.93316474093238</c:v>
                </c:pt>
                <c:pt idx="162">
                  <c:v>121.11616707722712</c:v>
                </c:pt>
                <c:pt idx="163">
                  <c:v>121.3772099971865</c:v>
                </c:pt>
                <c:pt idx="164">
                  <c:v>121.3287479594558</c:v>
                </c:pt>
                <c:pt idx="165">
                  <c:v>122.2175775933181</c:v>
                </c:pt>
                <c:pt idx="166">
                  <c:v>121.85687296427929</c:v>
                </c:pt>
                <c:pt idx="167">
                  <c:v>120.96381757824795</c:v>
                </c:pt>
                <c:pt idx="168">
                  <c:v>122.27248206357184</c:v>
                </c:pt>
                <c:pt idx="169">
                  <c:v>122.80436000991726</c:v>
                </c:pt>
                <c:pt idx="170">
                  <c:v>125.18926190239652</c:v>
                </c:pt>
                <c:pt idx="171">
                  <c:v>125.0408903001571</c:v>
                </c:pt>
                <c:pt idx="172">
                  <c:v>124.01083002126192</c:v>
                </c:pt>
                <c:pt idx="173">
                  <c:v>123.72925252922033</c:v>
                </c:pt>
                <c:pt idx="174">
                  <c:v>124.7771061699672</c:v>
                </c:pt>
                <c:pt idx="175">
                  <c:v>127.05770411043602</c:v>
                </c:pt>
                <c:pt idx="176">
                  <c:v>127.83467997058493</c:v>
                </c:pt>
                <c:pt idx="177">
                  <c:v>127.82836315948606</c:v>
                </c:pt>
                <c:pt idx="178">
                  <c:v>126.82537956535313</c:v>
                </c:pt>
                <c:pt idx="179">
                  <c:v>127.9581023190801</c:v>
                </c:pt>
                <c:pt idx="180">
                  <c:v>128.12266860811937</c:v>
                </c:pt>
                <c:pt idx="181">
                  <c:v>127.54912355176167</c:v>
                </c:pt>
                <c:pt idx="182">
                  <c:v>128.47576585131492</c:v>
                </c:pt>
                <c:pt idx="183">
                  <c:v>130.05783205129038</c:v>
                </c:pt>
                <c:pt idx="184">
                  <c:v>128.90845900524221</c:v>
                </c:pt>
                <c:pt idx="185">
                  <c:v>128.71077629899139</c:v>
                </c:pt>
                <c:pt idx="186">
                  <c:v>127.65822082712393</c:v>
                </c:pt>
                <c:pt idx="187">
                  <c:v>127.78423477273901</c:v>
                </c:pt>
                <c:pt idx="188">
                  <c:v>127.30247820771247</c:v>
                </c:pt>
                <c:pt idx="189">
                  <c:v>126.02714948997911</c:v>
                </c:pt>
                <c:pt idx="190">
                  <c:v>125.73394551369294</c:v>
                </c:pt>
                <c:pt idx="191">
                  <c:v>124.76321481688794</c:v>
                </c:pt>
                <c:pt idx="192">
                  <c:v>125.78917150399371</c:v>
                </c:pt>
                <c:pt idx="193">
                  <c:v>125.32516460596712</c:v>
                </c:pt>
                <c:pt idx="194">
                  <c:v>127.55698204755504</c:v>
                </c:pt>
                <c:pt idx="195">
                  <c:v>129.89190435754281</c:v>
                </c:pt>
                <c:pt idx="196">
                  <c:v>131.33104807146447</c:v>
                </c:pt>
                <c:pt idx="197">
                  <c:v>130.85250289038228</c:v>
                </c:pt>
                <c:pt idx="198">
                  <c:v>131.756516781106</c:v>
                </c:pt>
                <c:pt idx="199">
                  <c:v>133.3946950313485</c:v>
                </c:pt>
                <c:pt idx="200">
                  <c:v>131.47330187838742</c:v>
                </c:pt>
                <c:pt idx="201">
                  <c:v>130.99244332491858</c:v>
                </c:pt>
                <c:pt idx="202">
                  <c:v>130.69039184025442</c:v>
                </c:pt>
                <c:pt idx="203">
                  <c:v>129.26266878478873</c:v>
                </c:pt>
                <c:pt idx="204">
                  <c:v>129.33415360444425</c:v>
                </c:pt>
                <c:pt idx="205">
                  <c:v>128.39703881465925</c:v>
                </c:pt>
                <c:pt idx="206">
                  <c:v>130.77973451916085</c:v>
                </c:pt>
                <c:pt idx="207">
                  <c:v>128.30052598849826</c:v>
                </c:pt>
                <c:pt idx="208">
                  <c:v>129.688582339568</c:v>
                </c:pt>
                <c:pt idx="209">
                  <c:v>129.92650506698877</c:v>
                </c:pt>
                <c:pt idx="210">
                  <c:v>130.74335560324678</c:v>
                </c:pt>
                <c:pt idx="211">
                  <c:v>129.8722081704386</c:v>
                </c:pt>
                <c:pt idx="212">
                  <c:v>131.76170724710246</c:v>
                </c:pt>
                <c:pt idx="213">
                  <c:v>133.95953250246185</c:v>
                </c:pt>
                <c:pt idx="214">
                  <c:v>133.43244957539275</c:v>
                </c:pt>
                <c:pt idx="215">
                  <c:v>134.5713987053297</c:v>
                </c:pt>
                <c:pt idx="216">
                  <c:v>135.12589318798189</c:v>
                </c:pt>
                <c:pt idx="217">
                  <c:v>134.00533061889968</c:v>
                </c:pt>
                <c:pt idx="218">
                  <c:v>133.84908770644458</c:v>
                </c:pt>
                <c:pt idx="219">
                  <c:v>134.55738571967589</c:v>
                </c:pt>
                <c:pt idx="220">
                  <c:v>136.14727341408909</c:v>
                </c:pt>
                <c:pt idx="221">
                  <c:v>136.76236549101296</c:v>
                </c:pt>
                <c:pt idx="222">
                  <c:v>137.6269364936615</c:v>
                </c:pt>
                <c:pt idx="223">
                  <c:v>137.05729677504877</c:v>
                </c:pt>
                <c:pt idx="224">
                  <c:v>137.08560156043421</c:v>
                </c:pt>
                <c:pt idx="225">
                  <c:v>138.25198345808104</c:v>
                </c:pt>
                <c:pt idx="226">
                  <c:v>140.19284394316512</c:v>
                </c:pt>
                <c:pt idx="227">
                  <c:v>139.88443787891666</c:v>
                </c:pt>
                <c:pt idx="228">
                  <c:v>139.55552813678088</c:v>
                </c:pt>
                <c:pt idx="229">
                  <c:v>139.05546889476474</c:v>
                </c:pt>
                <c:pt idx="230">
                  <c:v>138.99073388240194</c:v>
                </c:pt>
                <c:pt idx="231">
                  <c:v>141.73375249433286</c:v>
                </c:pt>
                <c:pt idx="232">
                  <c:v>142.12735358675008</c:v>
                </c:pt>
                <c:pt idx="233">
                  <c:v>143.63911340292739</c:v>
                </c:pt>
                <c:pt idx="234">
                  <c:v>144.74237168475338</c:v>
                </c:pt>
                <c:pt idx="235">
                  <c:v>146.21142834787457</c:v>
                </c:pt>
                <c:pt idx="236">
                  <c:v>147.99273200329932</c:v>
                </c:pt>
                <c:pt idx="237">
                  <c:v>147.23737165971053</c:v>
                </c:pt>
                <c:pt idx="238">
                  <c:v>148.7812929022208</c:v>
                </c:pt>
                <c:pt idx="239">
                  <c:v>146.49705054212032</c:v>
                </c:pt>
                <c:pt idx="240">
                  <c:v>143.7563446579577</c:v>
                </c:pt>
                <c:pt idx="241">
                  <c:v>145.2431424815247</c:v>
                </c:pt>
                <c:pt idx="242">
                  <c:v>144.72997744326557</c:v>
                </c:pt>
                <c:pt idx="243">
                  <c:v>145.04250090162373</c:v>
                </c:pt>
                <c:pt idx="244">
                  <c:v>145.42615386908719</c:v>
                </c:pt>
                <c:pt idx="245">
                  <c:v>144.09213559475398</c:v>
                </c:pt>
                <c:pt idx="246">
                  <c:v>149.25503967607688</c:v>
                </c:pt>
                <c:pt idx="247">
                  <c:v>146.30730713063355</c:v>
                </c:pt>
                <c:pt idx="248">
                  <c:v>143.74602806399281</c:v>
                </c:pt>
                <c:pt idx="249">
                  <c:v>145.28112868549195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9A-42A4-85FB-D8CD6823B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802560"/>
        <c:axId val="329802920"/>
      </c:lineChart>
      <c:catAx>
        <c:axId val="32980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02920"/>
        <c:crosses val="autoZero"/>
        <c:auto val="1"/>
        <c:lblAlgn val="ctr"/>
        <c:lblOffset val="100"/>
        <c:noMultiLvlLbl val="0"/>
      </c:catAx>
      <c:valAx>
        <c:axId val="329802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8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VaR Downside</a:t>
            </a:r>
            <a:r>
              <a:rPr lang="en-US" baseline="0">
                <a:solidFill>
                  <a:schemeClr val="tx1"/>
                </a:solidFill>
              </a:rPr>
              <a:t>  Risk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Calculation!$T$2</c:f>
              <c:strCache>
                <c:ptCount val="1"/>
                <c:pt idx="0">
                  <c:v>99% CI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Calculation!$S$3:$S$5</c:f>
              <c:strCache>
                <c:ptCount val="3"/>
                <c:pt idx="0">
                  <c:v>Historical </c:v>
                </c:pt>
                <c:pt idx="1">
                  <c:v>Parametric </c:v>
                </c:pt>
                <c:pt idx="2">
                  <c:v>Monte Carlo </c:v>
                </c:pt>
              </c:strCache>
            </c:strRef>
          </c:cat>
          <c:val>
            <c:numRef>
              <c:f>Calculation!$T$3:$T$5</c:f>
              <c:numCache>
                <c:formatCode>"$"#,##0</c:formatCode>
                <c:ptCount val="3"/>
                <c:pt idx="0">
                  <c:v>32536.520933512671</c:v>
                </c:pt>
                <c:pt idx="1">
                  <c:v>27930.257085124824</c:v>
                </c:pt>
                <c:pt idx="2">
                  <c:v>36995.535055472501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5-43FA-86F9-96B9011DB537}"/>
            </c:ext>
          </c:extLst>
        </c:ser>
        <c:ser>
          <c:idx val="1"/>
          <c:order val="1"/>
          <c:tx>
            <c:strRef>
              <c:f>Calculation!$U$2</c:f>
              <c:strCache>
                <c:ptCount val="1"/>
                <c:pt idx="0">
                  <c:v>95% CI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Calculation!$S$3:$S$5</c:f>
              <c:strCache>
                <c:ptCount val="3"/>
                <c:pt idx="0">
                  <c:v>Historical </c:v>
                </c:pt>
                <c:pt idx="1">
                  <c:v>Parametric </c:v>
                </c:pt>
                <c:pt idx="2">
                  <c:v>Monte Carlo </c:v>
                </c:pt>
              </c:strCache>
            </c:strRef>
          </c:cat>
          <c:val>
            <c:numRef>
              <c:f>Calculation!$U$3:$U$5</c:f>
              <c:numCache>
                <c:formatCode>"$"#,##0</c:formatCode>
                <c:ptCount val="3"/>
                <c:pt idx="0">
                  <c:v>17449.262297023964</c:v>
                </c:pt>
                <c:pt idx="1">
                  <c:v>19286.185361585529</c:v>
                </c:pt>
                <c:pt idx="2">
                  <c:v>28559.017012131484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5-43FA-86F9-96B9011D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48432"/>
        <c:axId val="102847352"/>
      </c:barChart>
      <c:catAx>
        <c:axId val="10284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7352"/>
        <c:crosses val="autoZero"/>
        <c:auto val="1"/>
        <c:lblAlgn val="ctr"/>
        <c:lblOffset val="100"/>
        <c:noMultiLvlLbl val="0"/>
      </c:catAx>
      <c:valAx>
        <c:axId val="102847352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Number of Breaches in Backtest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Calculation!$AC$2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Calculation!$AB$3:$AB$5</c:f>
              <c:strCache>
                <c:ptCount val="3"/>
                <c:pt idx="0">
                  <c:v>Monte Carlo</c:v>
                </c:pt>
                <c:pt idx="1">
                  <c:v>Historical</c:v>
                </c:pt>
                <c:pt idx="2">
                  <c:v>Parametric</c:v>
                </c:pt>
              </c:strCache>
            </c:strRef>
          </c:cat>
          <c:val>
            <c:numRef>
              <c:f>Calculation!$AC$3:$AC$5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2-4607-A171-6C9708C9E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089232"/>
        <c:axId val="599091392"/>
      </c:barChart>
      <c:catAx>
        <c:axId val="59908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91392"/>
        <c:crosses val="autoZero"/>
        <c:auto val="1"/>
        <c:lblAlgn val="ctr"/>
        <c:lblOffset val="100"/>
        <c:noMultiLvlLbl val="0"/>
      </c:catAx>
      <c:valAx>
        <c:axId val="5990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Number of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8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0</xdr:rowOff>
    </xdr:from>
    <xdr:to>
      <xdr:col>18</xdr:col>
      <xdr:colOff>9525</xdr:colOff>
      <xdr:row>15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374C97-5087-4ACA-BB3D-37929CD77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5</xdr:row>
      <xdr:rowOff>4763</xdr:rowOff>
    </xdr:from>
    <xdr:to>
      <xdr:col>21</xdr:col>
      <xdr:colOff>28575</xdr:colOff>
      <xdr:row>14</xdr:row>
      <xdr:rowOff>38101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6A507F-0166-3D63-8CAE-A3FFFBCE3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38100</xdr:colOff>
      <xdr:row>5</xdr:row>
      <xdr:rowOff>14287</xdr:rowOff>
    </xdr:from>
    <xdr:to>
      <xdr:col>25</xdr:col>
      <xdr:colOff>581025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21419-BED7-0D6C-DC0B-AFA5BF98A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600075</xdr:colOff>
      <xdr:row>15</xdr:row>
      <xdr:rowOff>42862</xdr:rowOff>
    </xdr:from>
    <xdr:to>
      <xdr:col>29</xdr:col>
      <xdr:colOff>152400</xdr:colOff>
      <xdr:row>24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ECC7A-EA0B-D410-F1A2-68317203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</xdr:row>
      <xdr:rowOff>95250</xdr:rowOff>
    </xdr:from>
    <xdr:to>
      <xdr:col>29</xdr:col>
      <xdr:colOff>161925</xdr:colOff>
      <xdr:row>15</xdr:row>
      <xdr:rowOff>42863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72EC9A-22E1-402E-B53B-FC1E0854B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123825</xdr:colOff>
      <xdr:row>15</xdr:row>
      <xdr:rowOff>104775</xdr:rowOff>
    </xdr:from>
    <xdr:to>
      <xdr:col>25</xdr:col>
      <xdr:colOff>447675</xdr:colOff>
      <xdr:row>25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F79328-AB1A-4258-8723-95879A294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9527</xdr:rowOff>
    </xdr:from>
    <xdr:to>
      <xdr:col>9</xdr:col>
      <xdr:colOff>514350</xdr:colOff>
      <xdr:row>13</xdr:row>
      <xdr:rowOff>962025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C42CE-4A4C-4872-A8B9-DB5BD876A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4</xdr:row>
      <xdr:rowOff>161924</xdr:rowOff>
    </xdr:from>
    <xdr:to>
      <xdr:col>17</xdr:col>
      <xdr:colOff>323850</xdr:colOff>
      <xdr:row>13</xdr:row>
      <xdr:rowOff>762000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8DC655-BD1E-4072-9202-24F2ACE68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333375</xdr:colOff>
      <xdr:row>0</xdr:row>
      <xdr:rowOff>133350</xdr:rowOff>
    </xdr:from>
    <xdr:to>
      <xdr:col>17</xdr:col>
      <xdr:colOff>561975</xdr:colOff>
      <xdr:row>3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6F35272-F518-8DA3-1F8E-6879C41A2DA4}"/>
            </a:ext>
          </a:extLst>
        </xdr:cNvPr>
        <xdr:cNvSpPr/>
      </xdr:nvSpPr>
      <xdr:spPr>
        <a:xfrm>
          <a:off x="333375" y="133350"/>
          <a:ext cx="11953875" cy="60960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133350</xdr:colOff>
      <xdr:row>13</xdr:row>
      <xdr:rowOff>952500</xdr:rowOff>
    </xdr:from>
    <xdr:to>
      <xdr:col>10</xdr:col>
      <xdr:colOff>38099</xdr:colOff>
      <xdr:row>22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771C34-FD7D-4ED6-B2B3-5B61434D5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552449</xdr:colOff>
      <xdr:row>13</xdr:row>
      <xdr:rowOff>948082</xdr:rowOff>
    </xdr:from>
    <xdr:ext cx="2124076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D258AC-9770-3855-7C91-62158FABE54F}"/>
            </a:ext>
          </a:extLst>
        </xdr:cNvPr>
        <xdr:cNvSpPr txBox="1"/>
      </xdr:nvSpPr>
      <xdr:spPr>
        <a:xfrm>
          <a:off x="8477249" y="3424582"/>
          <a:ext cx="212407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400">
              <a:solidFill>
                <a:schemeClr val="tx1"/>
              </a:solidFill>
            </a:rPr>
            <a:t>Backtest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Result</a:t>
          </a:r>
          <a:r>
            <a:rPr lang="en-US" sz="1400">
              <a:solidFill>
                <a:schemeClr val="tx1"/>
              </a:solidFill>
            </a:rPr>
            <a:t> at</a:t>
          </a:r>
          <a:r>
            <a:rPr lang="en-US" sz="1400" baseline="0">
              <a:solidFill>
                <a:schemeClr val="tx1"/>
              </a:solidFill>
            </a:rPr>
            <a:t> 99% C L</a:t>
          </a:r>
          <a:r>
            <a:rPr lang="en-US" sz="1400">
              <a:solidFill>
                <a:schemeClr val="tx1"/>
              </a:solidFill>
            </a:rPr>
            <a:t> </a:t>
          </a:r>
        </a:p>
      </xdr:txBody>
    </xdr:sp>
    <xdr:clientData/>
  </xdr:oneCellAnchor>
  <xdr:oneCellAnchor>
    <xdr:from>
      <xdr:col>0</xdr:col>
      <xdr:colOff>133349</xdr:colOff>
      <xdr:row>0</xdr:row>
      <xdr:rowOff>161925</xdr:rowOff>
    </xdr:from>
    <xdr:ext cx="6191251" cy="46672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C15744-2CE1-AC6E-98DB-8CBDBD26A4CD}"/>
            </a:ext>
          </a:extLst>
        </xdr:cNvPr>
        <xdr:cNvSpPr txBox="1"/>
      </xdr:nvSpPr>
      <xdr:spPr>
        <a:xfrm>
          <a:off x="133349" y="161925"/>
          <a:ext cx="6191251" cy="466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800" b="1">
              <a:solidFill>
                <a:schemeClr val="bg1"/>
              </a:solidFill>
              <a:latin typeface="+mj-lt"/>
            </a:rPr>
            <a:t>Value at Risk Analysis</a:t>
          </a:r>
          <a:r>
            <a:rPr lang="en-US" sz="2800" b="1" baseline="0">
              <a:solidFill>
                <a:schemeClr val="bg1"/>
              </a:solidFill>
              <a:latin typeface="+mj-lt"/>
            </a:rPr>
            <a:t> with Backtesting</a:t>
          </a:r>
          <a:endParaRPr lang="en-US" sz="2800" b="1">
            <a:solidFill>
              <a:schemeClr val="bg1"/>
            </a:solidFill>
            <a:latin typeface="+mj-lt"/>
          </a:endParaRPr>
        </a:p>
      </xdr:txBody>
    </xdr:sp>
    <xdr:clientData/>
  </xdr:oneCellAnchor>
  <xdr:twoCellAnchor>
    <xdr:from>
      <xdr:col>10</xdr:col>
      <xdr:colOff>28575</xdr:colOff>
      <xdr:row>0</xdr:row>
      <xdr:rowOff>161924</xdr:rowOff>
    </xdr:from>
    <xdr:to>
      <xdr:col>13</xdr:col>
      <xdr:colOff>666749</xdr:colOff>
      <xdr:row>3</xdr:row>
      <xdr:rowOff>142875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0E22C79-5A19-476A-BE76-1FAF45AC5BAE}"/>
            </a:ext>
          </a:extLst>
        </xdr:cNvPr>
        <xdr:cNvSpPr/>
      </xdr:nvSpPr>
      <xdr:spPr>
        <a:xfrm>
          <a:off x="6124575" y="161924"/>
          <a:ext cx="2466974" cy="55245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933450</xdr:colOff>
      <xdr:row>1</xdr:row>
      <xdr:rowOff>19050</xdr:rowOff>
    </xdr:from>
    <xdr:to>
      <xdr:col>17</xdr:col>
      <xdr:colOff>495300</xdr:colOff>
      <xdr:row>3</xdr:row>
      <xdr:rowOff>104775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A7346BD-C69C-4987-AB4F-38BE6CAD43EF}"/>
            </a:ext>
          </a:extLst>
        </xdr:cNvPr>
        <xdr:cNvSpPr/>
      </xdr:nvSpPr>
      <xdr:spPr>
        <a:xfrm>
          <a:off x="11068050" y="209550"/>
          <a:ext cx="1152525" cy="4667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723900</xdr:colOff>
      <xdr:row>1</xdr:row>
      <xdr:rowOff>19050</xdr:rowOff>
    </xdr:from>
    <xdr:to>
      <xdr:col>14</xdr:col>
      <xdr:colOff>1085850</xdr:colOff>
      <xdr:row>3</xdr:row>
      <xdr:rowOff>104775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1095E83B-21CC-4CF9-B13B-76389BAF15F7}"/>
            </a:ext>
          </a:extLst>
        </xdr:cNvPr>
        <xdr:cNvSpPr/>
      </xdr:nvSpPr>
      <xdr:spPr>
        <a:xfrm>
          <a:off x="8648700" y="209550"/>
          <a:ext cx="1152525" cy="4667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1143000</xdr:colOff>
      <xdr:row>1</xdr:row>
      <xdr:rowOff>19050</xdr:rowOff>
    </xdr:from>
    <xdr:to>
      <xdr:col>15</xdr:col>
      <xdr:colOff>876300</xdr:colOff>
      <xdr:row>3</xdr:row>
      <xdr:rowOff>104775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B9CC06C-3AF3-4ED7-88EF-9ED61A7596E4}"/>
            </a:ext>
          </a:extLst>
        </xdr:cNvPr>
        <xdr:cNvSpPr/>
      </xdr:nvSpPr>
      <xdr:spPr>
        <a:xfrm>
          <a:off x="9858375" y="209550"/>
          <a:ext cx="1152525" cy="4667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409575</xdr:colOff>
      <xdr:row>0</xdr:row>
      <xdr:rowOff>114298</xdr:rowOff>
    </xdr:from>
    <xdr:ext cx="1714500" cy="64770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22D1A14-8CD8-740E-37B6-0A8141AACAF8}"/>
            </a:ext>
          </a:extLst>
        </xdr:cNvPr>
        <xdr:cNvSpPr txBox="1"/>
      </xdr:nvSpPr>
      <xdr:spPr>
        <a:xfrm>
          <a:off x="6505575" y="114298"/>
          <a:ext cx="1714500" cy="647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chemeClr val="tx1"/>
              </a:solidFill>
            </a:rPr>
            <a:t>Total Portfolio </a:t>
          </a:r>
        </a:p>
        <a:p>
          <a:pPr algn="ctr"/>
          <a:r>
            <a:rPr lang="en-US" sz="1100"/>
            <a:t>1,000,000 USD</a:t>
          </a:r>
        </a:p>
      </xdr:txBody>
    </xdr:sp>
    <xdr:clientData/>
  </xdr:oneCellAnchor>
  <xdr:oneCellAnchor>
    <xdr:from>
      <xdr:col>14</xdr:col>
      <xdr:colOff>38100</xdr:colOff>
      <xdr:row>0</xdr:row>
      <xdr:rowOff>171449</xdr:rowOff>
    </xdr:from>
    <xdr:ext cx="981075" cy="52387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E6310DD-7F45-6AF2-7465-BC822B0355C8}"/>
            </a:ext>
          </a:extLst>
        </xdr:cNvPr>
        <xdr:cNvSpPr txBox="1"/>
      </xdr:nvSpPr>
      <xdr:spPr>
        <a:xfrm>
          <a:off x="8753475" y="171449"/>
          <a:ext cx="981075" cy="5238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 b="1"/>
            <a:t>AAPL</a:t>
          </a:r>
        </a:p>
        <a:p>
          <a:pPr algn="ctr"/>
          <a:r>
            <a:rPr lang="en-US" sz="1100"/>
            <a:t>300,000 USD</a:t>
          </a:r>
        </a:p>
      </xdr:txBody>
    </xdr:sp>
    <xdr:clientData/>
  </xdr:oneCellAnchor>
  <xdr:oneCellAnchor>
    <xdr:from>
      <xdr:col>14</xdr:col>
      <xdr:colOff>1238249</xdr:colOff>
      <xdr:row>1</xdr:row>
      <xdr:rowOff>9525</xdr:rowOff>
    </xdr:from>
    <xdr:ext cx="981075" cy="48577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5BFB7A9-2B7D-8178-75DD-56927FDEE950}"/>
            </a:ext>
          </a:extLst>
        </xdr:cNvPr>
        <xdr:cNvSpPr txBox="1"/>
      </xdr:nvSpPr>
      <xdr:spPr>
        <a:xfrm>
          <a:off x="9953624" y="200025"/>
          <a:ext cx="981075" cy="485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 b="1"/>
            <a:t>XAUUSD</a:t>
          </a:r>
        </a:p>
        <a:p>
          <a:pPr algn="ctr"/>
          <a:r>
            <a:rPr lang="en-US" sz="1100"/>
            <a:t>400,000 USD</a:t>
          </a:r>
        </a:p>
      </xdr:txBody>
    </xdr:sp>
    <xdr:clientData/>
  </xdr:oneCellAnchor>
  <xdr:oneCellAnchor>
    <xdr:from>
      <xdr:col>16</xdr:col>
      <xdr:colOff>85725</xdr:colOff>
      <xdr:row>0</xdr:row>
      <xdr:rowOff>152400</xdr:rowOff>
    </xdr:from>
    <xdr:ext cx="923925" cy="58102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C715F7C-7567-A7AC-C865-E99AD05E9AE8}"/>
            </a:ext>
          </a:extLst>
        </xdr:cNvPr>
        <xdr:cNvSpPr txBox="1"/>
      </xdr:nvSpPr>
      <xdr:spPr>
        <a:xfrm>
          <a:off x="11201400" y="152400"/>
          <a:ext cx="923925" cy="581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200" b="1"/>
            <a:t>BTCUSD</a:t>
          </a:r>
        </a:p>
        <a:p>
          <a:pPr algn="ctr"/>
          <a:r>
            <a:rPr lang="en-US" sz="1100"/>
            <a:t>300,000 USD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C340E1F8-0A0B-4AEC-87AA-593F5342DFE0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AAPL_Close" tableColumnId="2"/>
      <queryTableField id="3" name="XAUUSD_Close" tableColumnId="3"/>
      <queryTableField id="4" name="BTCUSD_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291873-661E-4D41-BC15-931D12DA9044}" name="Merged_data" displayName="Merged_data" ref="A1:D252" tableType="queryTable" totalsRowShown="0">
  <autoFilter ref="A1:D252" xr:uid="{47291873-661E-4D41-BC15-931D12DA9044}"/>
  <tableColumns count="4">
    <tableColumn id="1" xr3:uid="{9CE48F6C-C6F1-4069-B085-E823496B45F6}" uniqueName="1" name="Date" queryTableFieldId="1" dataDxfId="6"/>
    <tableColumn id="2" xr3:uid="{42CE4B3D-5A94-4D3C-AD70-BA359D7BEB72}" uniqueName="2" name="AAPL_Close" queryTableFieldId="2"/>
    <tableColumn id="3" xr3:uid="{E70EA631-810A-4A7F-B976-50EB9075E75C}" uniqueName="3" name="XAUUSD_Close" queryTableFieldId="3"/>
    <tableColumn id="4" xr3:uid="{CC4CCF17-5612-4470-8399-EB68164D0214}" uniqueName="4" name="BTCUSD_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is@99CI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1817-AE55-467B-8CFB-E27D00DE6D04}">
  <dimension ref="A1:D252"/>
  <sheetViews>
    <sheetView workbookViewId="0">
      <selection activeCell="J14" sqref="J14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16.85546875" bestFit="1" customWidth="1"/>
    <col min="4" max="4" width="16.28515625" bestFit="1" customWidth="1"/>
  </cols>
  <sheetData>
    <row r="1" spans="1:4" x14ac:dyDescent="0.25">
      <c r="A1" t="s">
        <v>0</v>
      </c>
      <c r="B1" t="s">
        <v>63</v>
      </c>
      <c r="C1" t="s">
        <v>64</v>
      </c>
      <c r="D1" t="s">
        <v>65</v>
      </c>
    </row>
    <row r="2" spans="1:4" x14ac:dyDescent="0.25">
      <c r="A2" s="1">
        <v>45589</v>
      </c>
      <c r="B2">
        <v>230.06399999999999</v>
      </c>
      <c r="C2">
        <v>2735.9850000000001</v>
      </c>
      <c r="D2">
        <v>68306.399999999994</v>
      </c>
    </row>
    <row r="3" spans="1:4" x14ac:dyDescent="0.25">
      <c r="A3" s="1">
        <v>45590</v>
      </c>
      <c r="B3">
        <v>230.90199999999999</v>
      </c>
      <c r="C3">
        <v>2742.5349999999999</v>
      </c>
      <c r="D3">
        <v>66786.399999999994</v>
      </c>
    </row>
    <row r="4" spans="1:4" x14ac:dyDescent="0.25">
      <c r="A4" s="1">
        <v>45593</v>
      </c>
      <c r="B4">
        <v>232.887</v>
      </c>
      <c r="C4">
        <v>2742.2249999999999</v>
      </c>
      <c r="D4">
        <v>69912.899999999994</v>
      </c>
    </row>
    <row r="5" spans="1:4" x14ac:dyDescent="0.25">
      <c r="A5" s="1">
        <v>45594</v>
      </c>
      <c r="B5">
        <v>233.15700000000001</v>
      </c>
      <c r="C5">
        <v>2774.68</v>
      </c>
      <c r="D5">
        <v>72616.800000000003</v>
      </c>
    </row>
    <row r="6" spans="1:4" x14ac:dyDescent="0.25">
      <c r="A6" s="1">
        <v>45595</v>
      </c>
      <c r="B6">
        <v>229.595</v>
      </c>
      <c r="C6">
        <v>2787.59</v>
      </c>
      <c r="D6">
        <v>72374.600000000006</v>
      </c>
    </row>
    <row r="7" spans="1:4" x14ac:dyDescent="0.25">
      <c r="A7" s="1">
        <v>45596</v>
      </c>
      <c r="B7">
        <v>225.41399999999999</v>
      </c>
      <c r="C7">
        <v>2746.2049999999999</v>
      </c>
      <c r="D7">
        <v>70371.899999999994</v>
      </c>
    </row>
    <row r="8" spans="1:4" x14ac:dyDescent="0.25">
      <c r="A8" s="1">
        <v>45597</v>
      </c>
      <c r="B8">
        <v>222.42</v>
      </c>
      <c r="C8">
        <v>2736.5149999999999</v>
      </c>
      <c r="D8">
        <v>69192.600000000006</v>
      </c>
    </row>
    <row r="9" spans="1:4" x14ac:dyDescent="0.25">
      <c r="A9" s="1">
        <v>45600</v>
      </c>
      <c r="B9">
        <v>221.52199999999999</v>
      </c>
      <c r="C9">
        <v>2736.6849999999999</v>
      </c>
      <c r="D9">
        <v>67885.399999999994</v>
      </c>
    </row>
    <row r="10" spans="1:4" x14ac:dyDescent="0.25">
      <c r="A10" s="1">
        <v>45601</v>
      </c>
      <c r="B10">
        <v>222.959</v>
      </c>
      <c r="C10">
        <v>2743.9949999999999</v>
      </c>
      <c r="D10">
        <v>69586</v>
      </c>
    </row>
    <row r="11" spans="1:4" x14ac:dyDescent="0.25">
      <c r="A11" s="1">
        <v>45602</v>
      </c>
      <c r="B11">
        <v>222.23099999999999</v>
      </c>
      <c r="C11">
        <v>2659.0549999999998</v>
      </c>
      <c r="D11">
        <v>75684.100000000006</v>
      </c>
    </row>
    <row r="12" spans="1:4" x14ac:dyDescent="0.25">
      <c r="A12" s="1">
        <v>45603</v>
      </c>
      <c r="B12">
        <v>226.98</v>
      </c>
      <c r="C12">
        <v>2706.51</v>
      </c>
      <c r="D12">
        <v>75908.2</v>
      </c>
    </row>
    <row r="13" spans="1:4" x14ac:dyDescent="0.25">
      <c r="A13" s="1">
        <v>45604</v>
      </c>
      <c r="B13">
        <v>226.71100000000001</v>
      </c>
      <c r="C13">
        <v>2685.17</v>
      </c>
      <c r="D13">
        <v>76677.7</v>
      </c>
    </row>
    <row r="14" spans="1:4" x14ac:dyDescent="0.25">
      <c r="A14" s="1">
        <v>45607</v>
      </c>
      <c r="B14">
        <v>223.98400000000001</v>
      </c>
      <c r="C14">
        <v>2619.54</v>
      </c>
      <c r="D14">
        <v>88143.7</v>
      </c>
    </row>
    <row r="15" spans="1:4" x14ac:dyDescent="0.25">
      <c r="A15" s="1">
        <v>45608</v>
      </c>
      <c r="B15">
        <v>223.98400000000001</v>
      </c>
      <c r="C15">
        <v>2598.2750000000001</v>
      </c>
      <c r="D15">
        <v>88638.3</v>
      </c>
    </row>
    <row r="16" spans="1:4" x14ac:dyDescent="0.25">
      <c r="A16" s="1">
        <v>45609</v>
      </c>
      <c r="B16">
        <v>224.87299999999999</v>
      </c>
      <c r="C16">
        <v>2572.9349999999999</v>
      </c>
      <c r="D16">
        <v>89785.1</v>
      </c>
    </row>
    <row r="17" spans="1:4" x14ac:dyDescent="0.25">
      <c r="A17" s="1">
        <v>45610</v>
      </c>
      <c r="B17">
        <v>227.96899999999999</v>
      </c>
      <c r="C17">
        <v>2565.0500000000002</v>
      </c>
      <c r="D17">
        <v>87718.5</v>
      </c>
    </row>
    <row r="18" spans="1:4" x14ac:dyDescent="0.25">
      <c r="A18" s="1">
        <v>45611</v>
      </c>
      <c r="B18">
        <v>224.75299999999999</v>
      </c>
      <c r="C18">
        <v>2562.33</v>
      </c>
      <c r="D18">
        <v>91283.3</v>
      </c>
    </row>
    <row r="19" spans="1:4" x14ac:dyDescent="0.25">
      <c r="A19" s="1">
        <v>45614</v>
      </c>
      <c r="B19">
        <v>227.77</v>
      </c>
      <c r="C19">
        <v>2611.87</v>
      </c>
      <c r="D19">
        <v>91239.2</v>
      </c>
    </row>
    <row r="20" spans="1:4" x14ac:dyDescent="0.25">
      <c r="A20" s="1">
        <v>45615</v>
      </c>
      <c r="B20">
        <v>228.029</v>
      </c>
      <c r="C20">
        <v>2632.2649999999999</v>
      </c>
      <c r="D20">
        <v>91942.1</v>
      </c>
    </row>
    <row r="21" spans="1:4" x14ac:dyDescent="0.25">
      <c r="A21" s="1">
        <v>45616</v>
      </c>
      <c r="B21">
        <v>228.74799999999999</v>
      </c>
      <c r="C21">
        <v>2650.2649999999999</v>
      </c>
      <c r="D21">
        <v>94225.8</v>
      </c>
    </row>
    <row r="22" spans="1:4" x14ac:dyDescent="0.25">
      <c r="A22" s="1">
        <v>45617</v>
      </c>
      <c r="B22">
        <v>228.26900000000001</v>
      </c>
      <c r="C22">
        <v>2669.665</v>
      </c>
      <c r="D22">
        <v>98427.1</v>
      </c>
    </row>
    <row r="23" spans="1:4" x14ac:dyDescent="0.25">
      <c r="A23" s="1">
        <v>45618</v>
      </c>
      <c r="B23">
        <v>229.61799999999999</v>
      </c>
      <c r="C23">
        <v>2705.95</v>
      </c>
      <c r="D23">
        <v>99189.6</v>
      </c>
    </row>
    <row r="24" spans="1:4" x14ac:dyDescent="0.25">
      <c r="A24" s="1">
        <v>45621</v>
      </c>
      <c r="B24">
        <v>232.614</v>
      </c>
      <c r="C24">
        <v>2625.23</v>
      </c>
      <c r="D24">
        <v>94373.4</v>
      </c>
    </row>
    <row r="25" spans="1:4" x14ac:dyDescent="0.25">
      <c r="A25" s="1">
        <v>45622</v>
      </c>
      <c r="B25">
        <v>234.80199999999999</v>
      </c>
      <c r="C25">
        <v>2633.2249999999999</v>
      </c>
      <c r="D25">
        <v>91754.9</v>
      </c>
    </row>
    <row r="26" spans="1:4" x14ac:dyDescent="0.25">
      <c r="A26" s="1">
        <v>45623</v>
      </c>
      <c r="B26">
        <v>234.672</v>
      </c>
      <c r="C26">
        <v>2635.9450000000002</v>
      </c>
      <c r="D26">
        <v>96132.5</v>
      </c>
    </row>
    <row r="27" spans="1:4" x14ac:dyDescent="0.25">
      <c r="A27" s="1">
        <v>45625</v>
      </c>
      <c r="B27">
        <v>237.06899999999999</v>
      </c>
      <c r="C27">
        <v>2650.4549999999999</v>
      </c>
      <c r="D27">
        <v>97373.8</v>
      </c>
    </row>
    <row r="28" spans="1:4" x14ac:dyDescent="0.25">
      <c r="A28" s="1">
        <v>45628</v>
      </c>
      <c r="B28">
        <v>239.327</v>
      </c>
      <c r="C28">
        <v>2639.06</v>
      </c>
      <c r="D28">
        <v>95406.1</v>
      </c>
    </row>
    <row r="29" spans="1:4" x14ac:dyDescent="0.25">
      <c r="A29" s="1">
        <v>45629</v>
      </c>
      <c r="B29">
        <v>242.38399999999999</v>
      </c>
      <c r="C29">
        <v>2643.665</v>
      </c>
      <c r="D29">
        <v>96151</v>
      </c>
    </row>
    <row r="30" spans="1:4" x14ac:dyDescent="0.25">
      <c r="A30" s="1">
        <v>45630</v>
      </c>
      <c r="B30">
        <v>242.74299999999999</v>
      </c>
      <c r="C30">
        <v>2650.0949999999998</v>
      </c>
      <c r="D30">
        <v>98312.9</v>
      </c>
    </row>
    <row r="31" spans="1:4" x14ac:dyDescent="0.25">
      <c r="A31" s="1">
        <v>45631</v>
      </c>
      <c r="B31">
        <v>242.773</v>
      </c>
      <c r="C31">
        <v>2631.9850000000001</v>
      </c>
      <c r="D31">
        <v>96737.9</v>
      </c>
    </row>
    <row r="32" spans="1:4" x14ac:dyDescent="0.25">
      <c r="A32" s="1">
        <v>45632</v>
      </c>
      <c r="B32">
        <v>242.57300000000001</v>
      </c>
      <c r="C32">
        <v>2631.9850000000001</v>
      </c>
      <c r="D32">
        <v>101517</v>
      </c>
    </row>
    <row r="33" spans="1:4" x14ac:dyDescent="0.25">
      <c r="A33" s="1">
        <v>45635</v>
      </c>
      <c r="B33">
        <v>246.47900000000001</v>
      </c>
      <c r="C33">
        <v>2660.395</v>
      </c>
      <c r="D33">
        <v>96993.2</v>
      </c>
    </row>
    <row r="34" spans="1:4" x14ac:dyDescent="0.25">
      <c r="A34" s="1">
        <v>45636</v>
      </c>
      <c r="B34">
        <v>247.49799999999999</v>
      </c>
      <c r="C34">
        <v>2693.9450000000002</v>
      </c>
      <c r="D34">
        <v>96898.2</v>
      </c>
    </row>
    <row r="35" spans="1:4" x14ac:dyDescent="0.25">
      <c r="A35" s="1">
        <v>45637</v>
      </c>
      <c r="B35">
        <v>246.21899999999999</v>
      </c>
      <c r="C35">
        <v>2718.13</v>
      </c>
      <c r="D35">
        <v>101252</v>
      </c>
    </row>
    <row r="36" spans="1:4" x14ac:dyDescent="0.25">
      <c r="A36" s="1">
        <v>45638</v>
      </c>
      <c r="B36">
        <v>247.68799999999999</v>
      </c>
      <c r="C36">
        <v>2680.8649999999998</v>
      </c>
      <c r="D36">
        <v>100467</v>
      </c>
    </row>
    <row r="37" spans="1:4" x14ac:dyDescent="0.25">
      <c r="A37" s="1">
        <v>45639</v>
      </c>
      <c r="B37">
        <v>247.857</v>
      </c>
      <c r="C37">
        <v>2647.72</v>
      </c>
      <c r="D37">
        <v>101631</v>
      </c>
    </row>
    <row r="38" spans="1:4" x14ac:dyDescent="0.25">
      <c r="A38" s="1">
        <v>45642</v>
      </c>
      <c r="B38">
        <v>250.76400000000001</v>
      </c>
      <c r="C38">
        <v>2652.7249999999999</v>
      </c>
      <c r="D38">
        <v>105844</v>
      </c>
    </row>
    <row r="39" spans="1:4" x14ac:dyDescent="0.25">
      <c r="A39" s="1">
        <v>45643</v>
      </c>
      <c r="B39">
        <v>253.202</v>
      </c>
      <c r="C39">
        <v>2646.63</v>
      </c>
      <c r="D39">
        <v>105982</v>
      </c>
    </row>
    <row r="40" spans="1:4" x14ac:dyDescent="0.25">
      <c r="A40" s="1">
        <v>45644</v>
      </c>
      <c r="B40">
        <v>247.77799999999999</v>
      </c>
      <c r="C40">
        <v>2585.34</v>
      </c>
      <c r="D40">
        <v>101110</v>
      </c>
    </row>
    <row r="41" spans="1:4" x14ac:dyDescent="0.25">
      <c r="A41" s="1">
        <v>45645</v>
      </c>
      <c r="B41">
        <v>249.51599999999999</v>
      </c>
      <c r="C41">
        <v>2594.2849999999999</v>
      </c>
      <c r="D41">
        <v>98219.199999999997</v>
      </c>
    </row>
    <row r="42" spans="1:4" x14ac:dyDescent="0.25">
      <c r="A42" s="1">
        <v>45646</v>
      </c>
      <c r="B42">
        <v>254.21100000000001</v>
      </c>
      <c r="C42">
        <v>2623.09</v>
      </c>
      <c r="D42">
        <v>96413.4</v>
      </c>
    </row>
    <row r="43" spans="1:4" x14ac:dyDescent="0.25">
      <c r="A43" s="1">
        <v>45649</v>
      </c>
      <c r="B43">
        <v>254.99</v>
      </c>
      <c r="C43">
        <v>2612.9450000000002</v>
      </c>
      <c r="D43">
        <v>95049.8</v>
      </c>
    </row>
    <row r="44" spans="1:4" x14ac:dyDescent="0.25">
      <c r="A44" s="1">
        <v>45650</v>
      </c>
      <c r="B44">
        <v>257.916</v>
      </c>
      <c r="C44">
        <v>2616.1799999999998</v>
      </c>
      <c r="D44">
        <v>98705.9</v>
      </c>
    </row>
    <row r="45" spans="1:4" x14ac:dyDescent="0.25">
      <c r="A45" s="1">
        <v>45652</v>
      </c>
      <c r="B45">
        <v>258.73599999999999</v>
      </c>
      <c r="C45">
        <v>2633.7950000000001</v>
      </c>
      <c r="D45">
        <v>95708.4</v>
      </c>
    </row>
    <row r="46" spans="1:4" x14ac:dyDescent="0.25">
      <c r="A46" s="1">
        <v>45653</v>
      </c>
      <c r="B46">
        <v>255.309</v>
      </c>
      <c r="C46">
        <v>2615.5549999999998</v>
      </c>
      <c r="D46">
        <v>94500</v>
      </c>
    </row>
    <row r="47" spans="1:4" x14ac:dyDescent="0.25">
      <c r="A47" s="1">
        <v>45656</v>
      </c>
      <c r="B47">
        <v>251.923</v>
      </c>
      <c r="C47">
        <v>2605.9650000000001</v>
      </c>
      <c r="D47">
        <v>92611.4</v>
      </c>
    </row>
    <row r="48" spans="1:4" x14ac:dyDescent="0.25">
      <c r="A48" s="1">
        <v>45657</v>
      </c>
      <c r="B48">
        <v>250.14500000000001</v>
      </c>
      <c r="C48">
        <v>2624.585</v>
      </c>
      <c r="D48">
        <v>93315.7</v>
      </c>
    </row>
    <row r="49" spans="1:4" x14ac:dyDescent="0.25">
      <c r="A49" s="1">
        <v>45659</v>
      </c>
      <c r="B49">
        <v>243.58199999999999</v>
      </c>
      <c r="C49">
        <v>2658.01</v>
      </c>
      <c r="D49">
        <v>96812.9</v>
      </c>
    </row>
    <row r="50" spans="1:4" x14ac:dyDescent="0.25">
      <c r="A50" s="1">
        <v>45660</v>
      </c>
      <c r="B50">
        <v>243.09299999999999</v>
      </c>
      <c r="C50">
        <v>2638.26</v>
      </c>
      <c r="D50">
        <v>98303.2</v>
      </c>
    </row>
    <row r="51" spans="1:4" x14ac:dyDescent="0.25">
      <c r="A51" s="1">
        <v>45663</v>
      </c>
      <c r="B51">
        <v>244.73099999999999</v>
      </c>
      <c r="C51">
        <v>2636.085</v>
      </c>
      <c r="D51">
        <v>102041</v>
      </c>
    </row>
    <row r="52" spans="1:4" x14ac:dyDescent="0.25">
      <c r="A52" s="1">
        <v>45664</v>
      </c>
      <c r="B52">
        <v>241.94399999999999</v>
      </c>
      <c r="C52">
        <v>2648.7350000000001</v>
      </c>
      <c r="D52">
        <v>97128.8</v>
      </c>
    </row>
    <row r="53" spans="1:4" x14ac:dyDescent="0.25">
      <c r="A53" s="1">
        <v>45665</v>
      </c>
      <c r="B53">
        <v>242.43299999999999</v>
      </c>
      <c r="C53">
        <v>2662.1</v>
      </c>
      <c r="D53">
        <v>95261.6</v>
      </c>
    </row>
    <row r="54" spans="1:4" x14ac:dyDescent="0.25">
      <c r="A54" s="1">
        <v>45667</v>
      </c>
      <c r="B54">
        <v>236.59</v>
      </c>
      <c r="C54">
        <v>2690.62</v>
      </c>
      <c r="D54">
        <v>94616.3</v>
      </c>
    </row>
    <row r="55" spans="1:4" x14ac:dyDescent="0.25">
      <c r="A55" s="1">
        <v>45670</v>
      </c>
      <c r="B55">
        <v>234.143</v>
      </c>
      <c r="C55">
        <v>2663.0450000000001</v>
      </c>
      <c r="D55">
        <v>94360.9</v>
      </c>
    </row>
    <row r="56" spans="1:4" x14ac:dyDescent="0.25">
      <c r="A56" s="1">
        <v>45671</v>
      </c>
      <c r="B56">
        <v>233.024</v>
      </c>
      <c r="C56">
        <v>2677.36</v>
      </c>
      <c r="D56">
        <v>96688.4</v>
      </c>
    </row>
    <row r="57" spans="1:4" x14ac:dyDescent="0.25">
      <c r="A57" s="1">
        <v>45672</v>
      </c>
      <c r="B57">
        <v>237.60900000000001</v>
      </c>
      <c r="C57">
        <v>2696.5250000000001</v>
      </c>
      <c r="D57">
        <v>99708.800000000003</v>
      </c>
    </row>
    <row r="58" spans="1:4" x14ac:dyDescent="0.25">
      <c r="A58" s="1">
        <v>45673</v>
      </c>
      <c r="B58">
        <v>228.00899999999999</v>
      </c>
      <c r="C58">
        <v>2714.6849999999999</v>
      </c>
      <c r="D58">
        <v>99820.3</v>
      </c>
    </row>
    <row r="59" spans="1:4" x14ac:dyDescent="0.25">
      <c r="A59" s="1">
        <v>45674</v>
      </c>
      <c r="B59">
        <v>229.727</v>
      </c>
      <c r="C59">
        <v>2700.8649999999998</v>
      </c>
      <c r="D59">
        <v>104748</v>
      </c>
    </row>
    <row r="60" spans="1:4" x14ac:dyDescent="0.25">
      <c r="A60" s="1">
        <v>45678</v>
      </c>
      <c r="B60">
        <v>222.39500000000001</v>
      </c>
      <c r="C60">
        <v>2744.81</v>
      </c>
      <c r="D60">
        <v>106013</v>
      </c>
    </row>
    <row r="61" spans="1:4" x14ac:dyDescent="0.25">
      <c r="A61" s="1">
        <v>45679</v>
      </c>
      <c r="B61">
        <v>223.584</v>
      </c>
      <c r="C61">
        <v>2756.3049999999998</v>
      </c>
      <c r="D61">
        <v>103803</v>
      </c>
    </row>
    <row r="62" spans="1:4" x14ac:dyDescent="0.25">
      <c r="A62" s="1">
        <v>45680</v>
      </c>
      <c r="B62">
        <v>223.41399999999999</v>
      </c>
      <c r="C62">
        <v>2754.8850000000002</v>
      </c>
      <c r="D62">
        <v>103996</v>
      </c>
    </row>
    <row r="63" spans="1:4" x14ac:dyDescent="0.25">
      <c r="A63" s="1">
        <v>45681</v>
      </c>
      <c r="B63">
        <v>222.535</v>
      </c>
      <c r="C63">
        <v>2771.105</v>
      </c>
      <c r="D63">
        <v>105020</v>
      </c>
    </row>
    <row r="64" spans="1:4" x14ac:dyDescent="0.25">
      <c r="A64" s="1">
        <v>45684</v>
      </c>
      <c r="B64">
        <v>229.608</v>
      </c>
      <c r="C64">
        <v>2740.93</v>
      </c>
      <c r="D64">
        <v>101607</v>
      </c>
    </row>
    <row r="65" spans="1:4" x14ac:dyDescent="0.25">
      <c r="A65" s="1">
        <v>45685</v>
      </c>
      <c r="B65">
        <v>237.99799999999999</v>
      </c>
      <c r="C65">
        <v>2763.89</v>
      </c>
      <c r="D65">
        <v>101199</v>
      </c>
    </row>
    <row r="66" spans="1:4" x14ac:dyDescent="0.25">
      <c r="A66" s="1">
        <v>45686</v>
      </c>
      <c r="B66">
        <v>239.09700000000001</v>
      </c>
      <c r="C66">
        <v>2759.62</v>
      </c>
      <c r="D66">
        <v>103488</v>
      </c>
    </row>
    <row r="67" spans="1:4" x14ac:dyDescent="0.25">
      <c r="A67" s="1">
        <v>45687</v>
      </c>
      <c r="B67">
        <v>237.32900000000001</v>
      </c>
      <c r="C67">
        <v>2794.1950000000002</v>
      </c>
      <c r="D67">
        <v>105119</v>
      </c>
    </row>
    <row r="68" spans="1:4" x14ac:dyDescent="0.25">
      <c r="A68" s="1">
        <v>45688</v>
      </c>
      <c r="B68">
        <v>235.74100000000001</v>
      </c>
      <c r="C68">
        <v>2801.28</v>
      </c>
      <c r="D68">
        <v>101597</v>
      </c>
    </row>
    <row r="69" spans="1:4" x14ac:dyDescent="0.25">
      <c r="A69" s="1">
        <v>45691</v>
      </c>
      <c r="B69">
        <v>227.76</v>
      </c>
      <c r="C69">
        <v>2815</v>
      </c>
      <c r="D69">
        <v>101715</v>
      </c>
    </row>
    <row r="70" spans="1:4" x14ac:dyDescent="0.25">
      <c r="A70" s="1">
        <v>45692</v>
      </c>
      <c r="B70">
        <v>232.54400000000001</v>
      </c>
      <c r="C70">
        <v>2842.58</v>
      </c>
      <c r="D70">
        <v>97688.6</v>
      </c>
    </row>
    <row r="71" spans="1:4" x14ac:dyDescent="0.25">
      <c r="A71" s="1">
        <v>45693</v>
      </c>
      <c r="B71">
        <v>232.215</v>
      </c>
      <c r="C71">
        <v>2866.67</v>
      </c>
      <c r="D71">
        <v>96502.7</v>
      </c>
    </row>
    <row r="72" spans="1:4" x14ac:dyDescent="0.25">
      <c r="A72" s="1">
        <v>45694</v>
      </c>
      <c r="B72">
        <v>232.964</v>
      </c>
      <c r="C72">
        <v>2856.0349999999999</v>
      </c>
      <c r="D72">
        <v>96945.2</v>
      </c>
    </row>
    <row r="73" spans="1:4" x14ac:dyDescent="0.25">
      <c r="A73" s="1">
        <v>45695</v>
      </c>
      <c r="B73">
        <v>227.38</v>
      </c>
      <c r="C73">
        <v>2860.6550000000002</v>
      </c>
      <c r="D73">
        <v>95919.5</v>
      </c>
    </row>
    <row r="74" spans="1:4" x14ac:dyDescent="0.25">
      <c r="A74" s="1">
        <v>45698</v>
      </c>
      <c r="B74">
        <v>227.65</v>
      </c>
      <c r="C74">
        <v>2908.0450000000001</v>
      </c>
      <c r="D74">
        <v>97427.9</v>
      </c>
    </row>
    <row r="75" spans="1:4" x14ac:dyDescent="0.25">
      <c r="A75" s="1">
        <v>45699</v>
      </c>
      <c r="B75">
        <v>232.62</v>
      </c>
      <c r="C75">
        <v>2897.58</v>
      </c>
      <c r="D75">
        <v>95537.4</v>
      </c>
    </row>
    <row r="76" spans="1:4" x14ac:dyDescent="0.25">
      <c r="A76" s="1">
        <v>45700</v>
      </c>
      <c r="B76">
        <v>236.87</v>
      </c>
      <c r="C76">
        <v>2903.91</v>
      </c>
      <c r="D76">
        <v>97817.600000000006</v>
      </c>
    </row>
    <row r="77" spans="1:4" x14ac:dyDescent="0.25">
      <c r="A77" s="1">
        <v>45701</v>
      </c>
      <c r="B77">
        <v>241.53</v>
      </c>
      <c r="C77">
        <v>2928.14</v>
      </c>
      <c r="D77">
        <v>96360.4</v>
      </c>
    </row>
    <row r="78" spans="1:4" x14ac:dyDescent="0.25">
      <c r="A78" s="1">
        <v>45702</v>
      </c>
      <c r="B78">
        <v>244.6</v>
      </c>
      <c r="C78">
        <v>2885.16</v>
      </c>
      <c r="D78">
        <v>97153.4</v>
      </c>
    </row>
    <row r="79" spans="1:4" x14ac:dyDescent="0.25">
      <c r="A79" s="1">
        <v>45706</v>
      </c>
      <c r="B79">
        <v>244.47</v>
      </c>
      <c r="C79">
        <v>2935.29</v>
      </c>
      <c r="D79">
        <v>95267.1</v>
      </c>
    </row>
    <row r="80" spans="1:4" x14ac:dyDescent="0.25">
      <c r="A80" s="1">
        <v>45707</v>
      </c>
      <c r="B80">
        <v>244.87</v>
      </c>
      <c r="C80">
        <v>2932.94</v>
      </c>
      <c r="D80">
        <v>96527.8</v>
      </c>
    </row>
    <row r="81" spans="1:4" x14ac:dyDescent="0.25">
      <c r="A81" s="1">
        <v>45708</v>
      </c>
      <c r="B81">
        <v>245.83</v>
      </c>
      <c r="C81">
        <v>2939.6750000000002</v>
      </c>
      <c r="D81">
        <v>98149.8</v>
      </c>
    </row>
    <row r="82" spans="1:4" x14ac:dyDescent="0.25">
      <c r="A82" s="1">
        <v>45709</v>
      </c>
      <c r="B82">
        <v>245.55</v>
      </c>
      <c r="C82">
        <v>2934.92</v>
      </c>
      <c r="D82">
        <v>95143.8</v>
      </c>
    </row>
    <row r="83" spans="1:4" x14ac:dyDescent="0.25">
      <c r="A83" s="1">
        <v>45712</v>
      </c>
      <c r="B83">
        <v>247.172</v>
      </c>
      <c r="C83">
        <v>2952.76</v>
      </c>
      <c r="D83">
        <v>92437.6</v>
      </c>
    </row>
    <row r="84" spans="1:4" x14ac:dyDescent="0.25">
      <c r="A84" s="1">
        <v>45713</v>
      </c>
      <c r="B84">
        <v>247.04</v>
      </c>
      <c r="C84">
        <v>2914.9949999999999</v>
      </c>
      <c r="D84">
        <v>88719.3</v>
      </c>
    </row>
    <row r="85" spans="1:4" x14ac:dyDescent="0.25">
      <c r="A85" s="1">
        <v>45714</v>
      </c>
      <c r="B85">
        <v>240.36</v>
      </c>
      <c r="C85">
        <v>2916.38</v>
      </c>
      <c r="D85">
        <v>84219.7</v>
      </c>
    </row>
    <row r="86" spans="1:4" x14ac:dyDescent="0.25">
      <c r="A86" s="1">
        <v>45715</v>
      </c>
      <c r="B86">
        <v>237.3</v>
      </c>
      <c r="C86">
        <v>2877.07</v>
      </c>
      <c r="D86">
        <v>84604.5</v>
      </c>
    </row>
    <row r="87" spans="1:4" x14ac:dyDescent="0.25">
      <c r="A87" s="1">
        <v>45716</v>
      </c>
      <c r="B87">
        <v>241.84</v>
      </c>
      <c r="C87">
        <v>2854.9450000000002</v>
      </c>
      <c r="D87">
        <v>84128.3</v>
      </c>
    </row>
    <row r="88" spans="1:4" x14ac:dyDescent="0.25">
      <c r="A88" s="1">
        <v>45719</v>
      </c>
      <c r="B88">
        <v>238.03</v>
      </c>
      <c r="C88">
        <v>2892.82</v>
      </c>
      <c r="D88">
        <v>86574.8</v>
      </c>
    </row>
    <row r="89" spans="1:4" x14ac:dyDescent="0.25">
      <c r="A89" s="1">
        <v>45720</v>
      </c>
      <c r="B89">
        <v>235.93</v>
      </c>
      <c r="C89">
        <v>2917.99</v>
      </c>
      <c r="D89">
        <v>87456.9</v>
      </c>
    </row>
    <row r="90" spans="1:4" x14ac:dyDescent="0.25">
      <c r="A90" s="1">
        <v>45721</v>
      </c>
      <c r="B90">
        <v>235.74</v>
      </c>
      <c r="C90">
        <v>2919.17</v>
      </c>
      <c r="D90">
        <v>90446.9</v>
      </c>
    </row>
    <row r="91" spans="1:4" x14ac:dyDescent="0.25">
      <c r="A91" s="1">
        <v>45722</v>
      </c>
      <c r="B91">
        <v>235.33</v>
      </c>
      <c r="C91">
        <v>2911.14</v>
      </c>
      <c r="D91">
        <v>90297.5</v>
      </c>
    </row>
    <row r="92" spans="1:4" x14ac:dyDescent="0.25">
      <c r="A92" s="1">
        <v>45723</v>
      </c>
      <c r="B92">
        <v>239.07</v>
      </c>
      <c r="C92">
        <v>2909.36</v>
      </c>
      <c r="D92">
        <v>87704.6</v>
      </c>
    </row>
    <row r="93" spans="1:4" x14ac:dyDescent="0.25">
      <c r="A93" s="1">
        <v>45726</v>
      </c>
      <c r="B93">
        <v>227.48</v>
      </c>
      <c r="C93">
        <v>2884.98</v>
      </c>
      <c r="D93">
        <v>79453.3</v>
      </c>
    </row>
    <row r="94" spans="1:4" x14ac:dyDescent="0.25">
      <c r="A94" s="1">
        <v>45727</v>
      </c>
      <c r="B94">
        <v>220.84</v>
      </c>
      <c r="C94">
        <v>2917.51</v>
      </c>
      <c r="D94">
        <v>83111.7</v>
      </c>
    </row>
    <row r="95" spans="1:4" x14ac:dyDescent="0.25">
      <c r="A95" s="1">
        <v>45728</v>
      </c>
      <c r="B95">
        <v>216.98</v>
      </c>
      <c r="C95">
        <v>2938.16</v>
      </c>
      <c r="D95">
        <v>83634.399999999994</v>
      </c>
    </row>
    <row r="96" spans="1:4" x14ac:dyDescent="0.25">
      <c r="A96" s="1">
        <v>45729</v>
      </c>
      <c r="B96">
        <v>209.68</v>
      </c>
      <c r="C96">
        <v>2987.3249999999998</v>
      </c>
      <c r="D96">
        <v>81362.3</v>
      </c>
    </row>
    <row r="97" spans="1:4" x14ac:dyDescent="0.25">
      <c r="A97" s="1">
        <v>45730</v>
      </c>
      <c r="B97">
        <v>213.49</v>
      </c>
      <c r="C97">
        <v>2985.0450000000001</v>
      </c>
      <c r="D97">
        <v>84147.4</v>
      </c>
    </row>
    <row r="98" spans="1:4" x14ac:dyDescent="0.25">
      <c r="A98" s="1">
        <v>45733</v>
      </c>
      <c r="B98">
        <v>214</v>
      </c>
      <c r="C98">
        <v>3000.2849999999999</v>
      </c>
      <c r="D98">
        <v>84055.5</v>
      </c>
    </row>
    <row r="99" spans="1:4" x14ac:dyDescent="0.25">
      <c r="A99" s="1">
        <v>45734</v>
      </c>
      <c r="B99">
        <v>212.69</v>
      </c>
      <c r="C99">
        <v>3034.55</v>
      </c>
      <c r="D99">
        <v>82370.2</v>
      </c>
    </row>
    <row r="100" spans="1:4" x14ac:dyDescent="0.25">
      <c r="A100" s="1">
        <v>45735</v>
      </c>
      <c r="B100">
        <v>215.24</v>
      </c>
      <c r="C100">
        <v>3050.21</v>
      </c>
      <c r="D100">
        <v>86148.9</v>
      </c>
    </row>
    <row r="101" spans="1:4" x14ac:dyDescent="0.25">
      <c r="A101" s="1">
        <v>45736</v>
      </c>
      <c r="B101">
        <v>214.1</v>
      </c>
      <c r="C101">
        <v>3045.81</v>
      </c>
      <c r="D101">
        <v>84092.9</v>
      </c>
    </row>
    <row r="102" spans="1:4" x14ac:dyDescent="0.25">
      <c r="A102" s="1">
        <v>45737</v>
      </c>
      <c r="B102">
        <v>218.27</v>
      </c>
      <c r="C102">
        <v>3023.84</v>
      </c>
      <c r="D102">
        <v>84170.8</v>
      </c>
    </row>
    <row r="103" spans="1:4" x14ac:dyDescent="0.25">
      <c r="A103" s="1">
        <v>45740</v>
      </c>
      <c r="B103">
        <v>220.73</v>
      </c>
      <c r="C103">
        <v>3011.56</v>
      </c>
      <c r="D103">
        <v>87437</v>
      </c>
    </row>
    <row r="104" spans="1:4" x14ac:dyDescent="0.25">
      <c r="A104" s="1">
        <v>45741</v>
      </c>
      <c r="B104">
        <v>223.75</v>
      </c>
      <c r="C104">
        <v>3021.42</v>
      </c>
      <c r="D104">
        <v>87492.800000000003</v>
      </c>
    </row>
    <row r="105" spans="1:4" x14ac:dyDescent="0.25">
      <c r="A105" s="1">
        <v>45742</v>
      </c>
      <c r="B105">
        <v>221.53</v>
      </c>
      <c r="C105">
        <v>3019.32</v>
      </c>
      <c r="D105">
        <v>86834.1</v>
      </c>
    </row>
    <row r="106" spans="1:4" x14ac:dyDescent="0.25">
      <c r="A106" s="1">
        <v>45743</v>
      </c>
      <c r="B106">
        <v>223.85</v>
      </c>
      <c r="C106">
        <v>3055.22</v>
      </c>
      <c r="D106">
        <v>87355.3</v>
      </c>
    </row>
    <row r="107" spans="1:4" x14ac:dyDescent="0.25">
      <c r="A107" s="1">
        <v>45744</v>
      </c>
      <c r="B107">
        <v>217.9</v>
      </c>
      <c r="C107">
        <v>3085.25</v>
      </c>
      <c r="D107">
        <v>83761.899999999994</v>
      </c>
    </row>
    <row r="108" spans="1:4" x14ac:dyDescent="0.25">
      <c r="A108" s="1">
        <v>45747</v>
      </c>
      <c r="B108">
        <v>222.13</v>
      </c>
      <c r="C108">
        <v>3123.2750000000001</v>
      </c>
      <c r="D108">
        <v>82519.100000000006</v>
      </c>
    </row>
    <row r="109" spans="1:4" x14ac:dyDescent="0.25">
      <c r="A109" s="1">
        <v>45748</v>
      </c>
      <c r="B109">
        <v>223.19</v>
      </c>
      <c r="C109">
        <v>3114.36</v>
      </c>
      <c r="D109">
        <v>85176.6</v>
      </c>
    </row>
    <row r="110" spans="1:4" x14ac:dyDescent="0.25">
      <c r="A110" s="1">
        <v>45749</v>
      </c>
      <c r="B110">
        <v>223.89</v>
      </c>
      <c r="C110">
        <v>3135.5650000000001</v>
      </c>
      <c r="D110">
        <v>84792.4</v>
      </c>
    </row>
    <row r="111" spans="1:4" x14ac:dyDescent="0.25">
      <c r="A111" s="1">
        <v>45750</v>
      </c>
      <c r="B111">
        <v>203.19</v>
      </c>
      <c r="C111">
        <v>3114.7350000000001</v>
      </c>
      <c r="D111">
        <v>82688.3</v>
      </c>
    </row>
    <row r="112" spans="1:4" x14ac:dyDescent="0.25">
      <c r="A112" s="1">
        <v>45751</v>
      </c>
      <c r="B112">
        <v>188.38</v>
      </c>
      <c r="C112">
        <v>3036.3850000000002</v>
      </c>
      <c r="D112">
        <v>84016.6</v>
      </c>
    </row>
    <row r="113" spans="1:4" x14ac:dyDescent="0.25">
      <c r="A113" s="1">
        <v>45754</v>
      </c>
      <c r="B113">
        <v>181.46</v>
      </c>
      <c r="C113">
        <v>2983.2350000000001</v>
      </c>
      <c r="D113">
        <v>79192.800000000003</v>
      </c>
    </row>
    <row r="114" spans="1:4" x14ac:dyDescent="0.25">
      <c r="A114" s="1">
        <v>45755</v>
      </c>
      <c r="B114">
        <v>172.42</v>
      </c>
      <c r="C114">
        <v>2982.835</v>
      </c>
      <c r="D114">
        <v>77016.600000000006</v>
      </c>
    </row>
    <row r="115" spans="1:4" x14ac:dyDescent="0.25">
      <c r="A115" s="1">
        <v>45756</v>
      </c>
      <c r="B115">
        <v>198.85</v>
      </c>
      <c r="C115">
        <v>3082.94</v>
      </c>
      <c r="D115">
        <v>83277.8</v>
      </c>
    </row>
    <row r="116" spans="1:4" x14ac:dyDescent="0.25">
      <c r="A116" s="1">
        <v>45757</v>
      </c>
      <c r="B116">
        <v>190.42</v>
      </c>
      <c r="C116">
        <v>3175.605</v>
      </c>
      <c r="D116">
        <v>79672.3</v>
      </c>
    </row>
    <row r="117" spans="1:4" x14ac:dyDescent="0.25">
      <c r="A117" s="1">
        <v>45758</v>
      </c>
      <c r="B117">
        <v>198.15</v>
      </c>
      <c r="C117">
        <v>3230.98</v>
      </c>
      <c r="D117">
        <v>83869.3</v>
      </c>
    </row>
    <row r="118" spans="1:4" x14ac:dyDescent="0.25">
      <c r="A118" s="1">
        <v>45761</v>
      </c>
      <c r="B118">
        <v>202.52</v>
      </c>
      <c r="C118">
        <v>3210.7049999999999</v>
      </c>
      <c r="D118">
        <v>84721.3</v>
      </c>
    </row>
    <row r="119" spans="1:4" x14ac:dyDescent="0.25">
      <c r="A119" s="1">
        <v>45762</v>
      </c>
      <c r="B119">
        <v>202.14</v>
      </c>
      <c r="C119">
        <v>3230.0650000000001</v>
      </c>
      <c r="D119">
        <v>84211.9</v>
      </c>
    </row>
    <row r="120" spans="1:4" x14ac:dyDescent="0.25">
      <c r="A120" s="1">
        <v>45763</v>
      </c>
      <c r="B120">
        <v>194.27</v>
      </c>
      <c r="C120">
        <v>3343.0549999999998</v>
      </c>
      <c r="D120">
        <v>84510.8</v>
      </c>
    </row>
    <row r="121" spans="1:4" x14ac:dyDescent="0.25">
      <c r="A121" s="1">
        <v>45764</v>
      </c>
      <c r="B121">
        <v>196.98</v>
      </c>
      <c r="C121">
        <v>3327.3649999999998</v>
      </c>
      <c r="D121">
        <v>85070.1</v>
      </c>
    </row>
    <row r="122" spans="1:4" x14ac:dyDescent="0.25">
      <c r="A122" s="1">
        <v>45768</v>
      </c>
      <c r="B122">
        <v>193.16</v>
      </c>
      <c r="C122">
        <v>3424.4050000000002</v>
      </c>
      <c r="D122">
        <v>87284.4</v>
      </c>
    </row>
    <row r="123" spans="1:4" x14ac:dyDescent="0.25">
      <c r="A123" s="1">
        <v>45769</v>
      </c>
      <c r="B123">
        <v>199.74</v>
      </c>
      <c r="C123">
        <v>3381.16</v>
      </c>
      <c r="D123">
        <v>93010.2</v>
      </c>
    </row>
    <row r="124" spans="1:4" x14ac:dyDescent="0.25">
      <c r="A124" s="1">
        <v>45770</v>
      </c>
      <c r="B124">
        <v>204.6</v>
      </c>
      <c r="C124">
        <v>3288.33</v>
      </c>
      <c r="D124">
        <v>93513.8</v>
      </c>
    </row>
    <row r="125" spans="1:4" x14ac:dyDescent="0.25">
      <c r="A125" s="1">
        <v>45771</v>
      </c>
      <c r="B125">
        <v>208.37</v>
      </c>
      <c r="C125">
        <v>3349.5949999999998</v>
      </c>
      <c r="D125">
        <v>93382</v>
      </c>
    </row>
    <row r="126" spans="1:4" x14ac:dyDescent="0.25">
      <c r="A126" s="1">
        <v>45772</v>
      </c>
      <c r="B126">
        <v>209.28</v>
      </c>
      <c r="C126">
        <v>3304.9850000000001</v>
      </c>
      <c r="D126">
        <v>95333.4</v>
      </c>
    </row>
    <row r="127" spans="1:4" x14ac:dyDescent="0.25">
      <c r="A127" s="1">
        <v>45775</v>
      </c>
      <c r="B127">
        <v>210.14</v>
      </c>
      <c r="C127">
        <v>3343.8850000000002</v>
      </c>
      <c r="D127">
        <v>94541.1</v>
      </c>
    </row>
    <row r="128" spans="1:4" x14ac:dyDescent="0.25">
      <c r="A128" s="1">
        <v>45776</v>
      </c>
      <c r="B128">
        <v>211.21</v>
      </c>
      <c r="C128">
        <v>3317.2449999999999</v>
      </c>
      <c r="D128">
        <v>94726.5</v>
      </c>
    </row>
    <row r="129" spans="1:4" x14ac:dyDescent="0.25">
      <c r="A129" s="1">
        <v>45777</v>
      </c>
      <c r="B129">
        <v>212.5</v>
      </c>
      <c r="C129">
        <v>3288.4</v>
      </c>
      <c r="D129">
        <v>94400.1</v>
      </c>
    </row>
    <row r="130" spans="1:4" x14ac:dyDescent="0.25">
      <c r="A130" s="1">
        <v>45778</v>
      </c>
      <c r="B130">
        <v>213.32</v>
      </c>
      <c r="C130">
        <v>3238.95</v>
      </c>
      <c r="D130">
        <v>96455.2</v>
      </c>
    </row>
    <row r="131" spans="1:4" x14ac:dyDescent="0.25">
      <c r="A131" s="1">
        <v>45779</v>
      </c>
      <c r="B131">
        <v>205.35</v>
      </c>
      <c r="C131">
        <v>3233.67</v>
      </c>
      <c r="D131">
        <v>96935.8</v>
      </c>
    </row>
    <row r="132" spans="1:4" x14ac:dyDescent="0.25">
      <c r="A132" s="1">
        <v>45782</v>
      </c>
      <c r="B132">
        <v>198.89</v>
      </c>
      <c r="C132">
        <v>3333.915</v>
      </c>
      <c r="D132">
        <v>94663.8</v>
      </c>
    </row>
    <row r="133" spans="1:4" x14ac:dyDescent="0.25">
      <c r="A133" s="1">
        <v>45783</v>
      </c>
      <c r="B133">
        <v>198.51</v>
      </c>
      <c r="C133">
        <v>3431.7649999999999</v>
      </c>
      <c r="D133">
        <v>94679.9</v>
      </c>
    </row>
    <row r="134" spans="1:4" x14ac:dyDescent="0.25">
      <c r="A134" s="1">
        <v>45784</v>
      </c>
      <c r="B134">
        <v>196.25</v>
      </c>
      <c r="C134">
        <v>3364.4850000000001</v>
      </c>
      <c r="D134">
        <v>97121.3</v>
      </c>
    </row>
    <row r="135" spans="1:4" x14ac:dyDescent="0.25">
      <c r="A135" s="1">
        <v>45785</v>
      </c>
      <c r="B135">
        <v>197.49</v>
      </c>
      <c r="C135">
        <v>3305.51</v>
      </c>
      <c r="D135">
        <v>102778</v>
      </c>
    </row>
    <row r="136" spans="1:4" x14ac:dyDescent="0.25">
      <c r="A136" s="1">
        <v>45786</v>
      </c>
      <c r="B136">
        <v>198.53</v>
      </c>
      <c r="C136">
        <v>3328.9450000000002</v>
      </c>
      <c r="D136">
        <v>103184</v>
      </c>
    </row>
    <row r="137" spans="1:4" x14ac:dyDescent="0.25">
      <c r="A137" s="1">
        <v>45789</v>
      </c>
      <c r="B137">
        <v>210.79</v>
      </c>
      <c r="C137">
        <v>3235.915</v>
      </c>
      <c r="D137">
        <v>102482</v>
      </c>
    </row>
    <row r="138" spans="1:4" x14ac:dyDescent="0.25">
      <c r="A138" s="1">
        <v>45790</v>
      </c>
      <c r="B138">
        <v>212.93</v>
      </c>
      <c r="C138">
        <v>3250.2249999999999</v>
      </c>
      <c r="D138">
        <v>104342</v>
      </c>
    </row>
    <row r="139" spans="1:4" x14ac:dyDescent="0.25">
      <c r="A139" s="1">
        <v>45791</v>
      </c>
      <c r="B139">
        <v>212.33</v>
      </c>
      <c r="C139">
        <v>3177.53</v>
      </c>
      <c r="D139">
        <v>103616</v>
      </c>
    </row>
    <row r="140" spans="1:4" x14ac:dyDescent="0.25">
      <c r="A140" s="1">
        <v>45792</v>
      </c>
      <c r="B140">
        <v>211.45</v>
      </c>
      <c r="C140">
        <v>3239.83</v>
      </c>
      <c r="D140">
        <v>103288</v>
      </c>
    </row>
    <row r="141" spans="1:4" x14ac:dyDescent="0.25">
      <c r="A141" s="1">
        <v>45793</v>
      </c>
      <c r="B141">
        <v>211.26</v>
      </c>
      <c r="C141">
        <v>3192.46</v>
      </c>
      <c r="D141">
        <v>103924</v>
      </c>
    </row>
    <row r="142" spans="1:4" x14ac:dyDescent="0.25">
      <c r="A142" s="1">
        <v>45796</v>
      </c>
      <c r="B142">
        <v>208.78</v>
      </c>
      <c r="C142">
        <v>3229.7550000000001</v>
      </c>
      <c r="D142">
        <v>105474</v>
      </c>
    </row>
    <row r="143" spans="1:4" x14ac:dyDescent="0.25">
      <c r="A143" s="1">
        <v>45797</v>
      </c>
      <c r="B143">
        <v>206.86</v>
      </c>
      <c r="C143">
        <v>3289.9850000000001</v>
      </c>
      <c r="D143">
        <v>106619</v>
      </c>
    </row>
    <row r="144" spans="1:4" x14ac:dyDescent="0.25">
      <c r="A144" s="1">
        <v>45798</v>
      </c>
      <c r="B144">
        <v>202.09</v>
      </c>
      <c r="C144">
        <v>3315.43</v>
      </c>
      <c r="D144">
        <v>108456</v>
      </c>
    </row>
    <row r="145" spans="1:4" x14ac:dyDescent="0.25">
      <c r="A145" s="1">
        <v>45799</v>
      </c>
      <c r="B145">
        <v>201.36</v>
      </c>
      <c r="C145">
        <v>3294.7449999999999</v>
      </c>
      <c r="D145">
        <v>110868</v>
      </c>
    </row>
    <row r="146" spans="1:4" x14ac:dyDescent="0.25">
      <c r="A146" s="1">
        <v>45800</v>
      </c>
      <c r="B146">
        <v>195.27</v>
      </c>
      <c r="C146">
        <v>3360.91</v>
      </c>
      <c r="D146">
        <v>108696</v>
      </c>
    </row>
    <row r="147" spans="1:4" x14ac:dyDescent="0.25">
      <c r="A147" s="1">
        <v>45804</v>
      </c>
      <c r="B147">
        <v>200.21</v>
      </c>
      <c r="C147">
        <v>3300.7049999999999</v>
      </c>
      <c r="D147">
        <v>108871</v>
      </c>
    </row>
    <row r="148" spans="1:4" x14ac:dyDescent="0.25">
      <c r="A148" s="1">
        <v>45805</v>
      </c>
      <c r="B148">
        <v>200.42</v>
      </c>
      <c r="C148">
        <v>3287.5250000000001</v>
      </c>
      <c r="D148">
        <v>107542</v>
      </c>
    </row>
    <row r="149" spans="1:4" x14ac:dyDescent="0.25">
      <c r="A149" s="1">
        <v>45806</v>
      </c>
      <c r="B149">
        <v>199.95</v>
      </c>
      <c r="C149">
        <v>3317.72</v>
      </c>
      <c r="D149">
        <v>106421</v>
      </c>
    </row>
    <row r="150" spans="1:4" x14ac:dyDescent="0.25">
      <c r="A150" s="1">
        <v>45807</v>
      </c>
      <c r="B150">
        <v>200.85</v>
      </c>
      <c r="C150">
        <v>3294.895</v>
      </c>
      <c r="D150">
        <v>104584</v>
      </c>
    </row>
    <row r="151" spans="1:4" x14ac:dyDescent="0.25">
      <c r="A151" s="1">
        <v>45810</v>
      </c>
      <c r="B151">
        <v>201.7</v>
      </c>
      <c r="C151">
        <v>3381.62</v>
      </c>
      <c r="D151">
        <v>104952</v>
      </c>
    </row>
    <row r="152" spans="1:4" x14ac:dyDescent="0.25">
      <c r="A152" s="1">
        <v>45811</v>
      </c>
      <c r="B152">
        <v>203.27</v>
      </c>
      <c r="C152">
        <v>3353.45</v>
      </c>
      <c r="D152">
        <v>105455</v>
      </c>
    </row>
    <row r="153" spans="1:4" x14ac:dyDescent="0.25">
      <c r="A153" s="1">
        <v>45812</v>
      </c>
      <c r="B153">
        <v>202.82</v>
      </c>
      <c r="C153">
        <v>3372.6950000000002</v>
      </c>
      <c r="D153">
        <v>104983</v>
      </c>
    </row>
    <row r="154" spans="1:4" x14ac:dyDescent="0.25">
      <c r="A154" s="1">
        <v>45813</v>
      </c>
      <c r="B154">
        <v>200.63</v>
      </c>
      <c r="C154">
        <v>3352.82</v>
      </c>
      <c r="D154">
        <v>101619</v>
      </c>
    </row>
    <row r="155" spans="1:4" x14ac:dyDescent="0.25">
      <c r="A155" s="1">
        <v>45814</v>
      </c>
      <c r="B155">
        <v>203.92</v>
      </c>
      <c r="C155">
        <v>3312.4349999999999</v>
      </c>
      <c r="D155">
        <v>104303</v>
      </c>
    </row>
    <row r="156" spans="1:4" x14ac:dyDescent="0.25">
      <c r="A156" s="1">
        <v>45817</v>
      </c>
      <c r="B156">
        <v>201.45</v>
      </c>
      <c r="C156">
        <v>3325.665</v>
      </c>
      <c r="D156">
        <v>109947</v>
      </c>
    </row>
    <row r="157" spans="1:4" x14ac:dyDescent="0.25">
      <c r="A157" s="1">
        <v>45818</v>
      </c>
      <c r="B157">
        <v>202.67</v>
      </c>
      <c r="C157">
        <v>3323.2249999999999</v>
      </c>
      <c r="D157">
        <v>109918</v>
      </c>
    </row>
    <row r="158" spans="1:4" x14ac:dyDescent="0.25">
      <c r="A158" s="1">
        <v>45819</v>
      </c>
      <c r="B158">
        <v>198.78</v>
      </c>
      <c r="C158">
        <v>3355.0749999999998</v>
      </c>
      <c r="D158">
        <v>108551</v>
      </c>
    </row>
    <row r="159" spans="1:4" x14ac:dyDescent="0.25">
      <c r="A159" s="1">
        <v>45820</v>
      </c>
      <c r="B159">
        <v>199.2</v>
      </c>
      <c r="C159">
        <v>3385.88</v>
      </c>
      <c r="D159">
        <v>105971</v>
      </c>
    </row>
    <row r="160" spans="1:4" x14ac:dyDescent="0.25">
      <c r="A160" s="1">
        <v>45821</v>
      </c>
      <c r="B160">
        <v>196.45</v>
      </c>
      <c r="C160">
        <v>3432.53</v>
      </c>
      <c r="D160">
        <v>105248</v>
      </c>
    </row>
    <row r="161" spans="1:4" x14ac:dyDescent="0.25">
      <c r="A161" s="1">
        <v>45824</v>
      </c>
      <c r="B161">
        <v>198.42</v>
      </c>
      <c r="C161">
        <v>3385.24</v>
      </c>
      <c r="D161">
        <v>108567</v>
      </c>
    </row>
    <row r="162" spans="1:4" x14ac:dyDescent="0.25">
      <c r="A162" s="1">
        <v>45825</v>
      </c>
      <c r="B162">
        <v>195.64</v>
      </c>
      <c r="C162">
        <v>3388.63</v>
      </c>
      <c r="D162">
        <v>104579</v>
      </c>
    </row>
    <row r="163" spans="1:4" x14ac:dyDescent="0.25">
      <c r="A163" s="1">
        <v>45826</v>
      </c>
      <c r="B163">
        <v>196.58</v>
      </c>
      <c r="C163">
        <v>3369.41</v>
      </c>
      <c r="D163">
        <v>105106</v>
      </c>
    </row>
    <row r="164" spans="1:4" x14ac:dyDescent="0.25">
      <c r="A164" s="1">
        <v>45828</v>
      </c>
      <c r="B164">
        <v>201</v>
      </c>
      <c r="C164">
        <v>3365.4650000000001</v>
      </c>
      <c r="D164">
        <v>103437</v>
      </c>
    </row>
    <row r="165" spans="1:4" x14ac:dyDescent="0.25">
      <c r="A165" s="1">
        <v>45831</v>
      </c>
      <c r="B165">
        <v>201.5</v>
      </c>
      <c r="C165">
        <v>3368.7550000000001</v>
      </c>
      <c r="D165">
        <v>103788</v>
      </c>
    </row>
    <row r="166" spans="1:4" x14ac:dyDescent="0.25">
      <c r="A166" s="1">
        <v>45832</v>
      </c>
      <c r="B166">
        <v>200.3</v>
      </c>
      <c r="C166">
        <v>3324.0349999999999</v>
      </c>
      <c r="D166">
        <v>106105</v>
      </c>
    </row>
    <row r="167" spans="1:4" x14ac:dyDescent="0.25">
      <c r="A167" s="1">
        <v>45833</v>
      </c>
      <c r="B167">
        <v>201.56</v>
      </c>
      <c r="C167">
        <v>3332.2950000000001</v>
      </c>
      <c r="D167">
        <v>107677</v>
      </c>
    </row>
    <row r="168" spans="1:4" x14ac:dyDescent="0.25">
      <c r="A168" s="1">
        <v>45834</v>
      </c>
      <c r="B168">
        <v>201</v>
      </c>
      <c r="C168">
        <v>3327.9050000000002</v>
      </c>
      <c r="D168">
        <v>107106</v>
      </c>
    </row>
    <row r="169" spans="1:4" x14ac:dyDescent="0.25">
      <c r="A169" s="1">
        <v>45835</v>
      </c>
      <c r="B169">
        <v>201.08</v>
      </c>
      <c r="C169">
        <v>3271.1350000000002</v>
      </c>
      <c r="D169">
        <v>106883</v>
      </c>
    </row>
    <row r="170" spans="1:4" x14ac:dyDescent="0.25">
      <c r="A170" s="1">
        <v>45838</v>
      </c>
      <c r="B170">
        <v>205.17</v>
      </c>
      <c r="C170">
        <v>3303.05</v>
      </c>
      <c r="D170">
        <v>107173</v>
      </c>
    </row>
    <row r="171" spans="1:4" x14ac:dyDescent="0.25">
      <c r="A171" s="1">
        <v>45839</v>
      </c>
      <c r="B171">
        <v>207.82</v>
      </c>
      <c r="C171">
        <v>3338.5250000000001</v>
      </c>
      <c r="D171">
        <v>105808</v>
      </c>
    </row>
    <row r="172" spans="1:4" x14ac:dyDescent="0.25">
      <c r="A172" s="1">
        <v>45840</v>
      </c>
      <c r="B172">
        <v>212.44</v>
      </c>
      <c r="C172">
        <v>3357.6750000000002</v>
      </c>
      <c r="D172">
        <v>109496</v>
      </c>
    </row>
    <row r="173" spans="1:4" x14ac:dyDescent="0.25">
      <c r="A173" s="1">
        <v>45841</v>
      </c>
      <c r="B173">
        <v>213.55</v>
      </c>
      <c r="C173">
        <v>3326.105</v>
      </c>
      <c r="D173">
        <v>109864</v>
      </c>
    </row>
    <row r="174" spans="1:4" x14ac:dyDescent="0.25">
      <c r="A174" s="1">
        <v>45845</v>
      </c>
      <c r="B174">
        <v>209.95</v>
      </c>
      <c r="C174">
        <v>3336.9650000000001</v>
      </c>
      <c r="D174">
        <v>108221</v>
      </c>
    </row>
    <row r="175" spans="1:4" x14ac:dyDescent="0.25">
      <c r="A175" s="1">
        <v>45846</v>
      </c>
      <c r="B175">
        <v>210.01</v>
      </c>
      <c r="C175">
        <v>3301.605</v>
      </c>
      <c r="D175">
        <v>108900</v>
      </c>
    </row>
    <row r="176" spans="1:4" x14ac:dyDescent="0.25">
      <c r="A176" s="1">
        <v>45847</v>
      </c>
      <c r="B176">
        <v>211.14</v>
      </c>
      <c r="C176">
        <v>3313.6849999999999</v>
      </c>
      <c r="D176">
        <v>110857</v>
      </c>
    </row>
    <row r="177" spans="1:4" x14ac:dyDescent="0.25">
      <c r="A177" s="1">
        <v>45848</v>
      </c>
      <c r="B177">
        <v>212.41</v>
      </c>
      <c r="C177">
        <v>3324.0450000000001</v>
      </c>
      <c r="D177">
        <v>116482</v>
      </c>
    </row>
    <row r="178" spans="1:4" x14ac:dyDescent="0.25">
      <c r="A178" s="1">
        <v>45849</v>
      </c>
      <c r="B178">
        <v>211.16</v>
      </c>
      <c r="C178">
        <v>3356.4450000000002</v>
      </c>
      <c r="D178">
        <v>118028</v>
      </c>
    </row>
    <row r="179" spans="1:4" x14ac:dyDescent="0.25">
      <c r="A179" s="1">
        <v>45852</v>
      </c>
      <c r="B179">
        <v>208.62</v>
      </c>
      <c r="C179">
        <v>3343.5050000000001</v>
      </c>
      <c r="D179">
        <v>120035</v>
      </c>
    </row>
    <row r="180" spans="1:4" x14ac:dyDescent="0.25">
      <c r="A180" s="1">
        <v>45853</v>
      </c>
      <c r="B180">
        <v>209.11</v>
      </c>
      <c r="C180">
        <v>3323.9850000000001</v>
      </c>
      <c r="D180">
        <v>117548</v>
      </c>
    </row>
    <row r="181" spans="1:4" x14ac:dyDescent="0.25">
      <c r="A181" s="1">
        <v>45854</v>
      </c>
      <c r="B181">
        <v>210.16</v>
      </c>
      <c r="C181">
        <v>3347.5749999999998</v>
      </c>
      <c r="D181">
        <v>119345</v>
      </c>
    </row>
    <row r="182" spans="1:4" x14ac:dyDescent="0.25">
      <c r="A182" s="1">
        <v>45855</v>
      </c>
      <c r="B182">
        <v>210.02</v>
      </c>
      <c r="C182">
        <v>3339.2049999999999</v>
      </c>
      <c r="D182">
        <v>120334</v>
      </c>
    </row>
    <row r="183" spans="1:4" x14ac:dyDescent="0.25">
      <c r="A183" s="1">
        <v>45856</v>
      </c>
      <c r="B183">
        <v>211.18</v>
      </c>
      <c r="C183">
        <v>3348.2950000000001</v>
      </c>
      <c r="D183">
        <v>117437</v>
      </c>
    </row>
    <row r="184" spans="1:4" x14ac:dyDescent="0.25">
      <c r="A184" s="1">
        <v>45859</v>
      </c>
      <c r="B184">
        <v>212.48</v>
      </c>
      <c r="C184">
        <v>3397.1350000000002</v>
      </c>
      <c r="D184">
        <v>117274</v>
      </c>
    </row>
    <row r="185" spans="1:4" x14ac:dyDescent="0.25">
      <c r="A185" s="1">
        <v>45860</v>
      </c>
      <c r="B185">
        <v>214.4</v>
      </c>
      <c r="C185">
        <v>3431.7449999999999</v>
      </c>
      <c r="D185">
        <v>119435</v>
      </c>
    </row>
    <row r="186" spans="1:4" x14ac:dyDescent="0.25">
      <c r="A186" s="1">
        <v>45861</v>
      </c>
      <c r="B186">
        <v>214.15</v>
      </c>
      <c r="C186">
        <v>3387.2649999999999</v>
      </c>
      <c r="D186">
        <v>118120</v>
      </c>
    </row>
    <row r="187" spans="1:4" x14ac:dyDescent="0.25">
      <c r="A187" s="1">
        <v>45862</v>
      </c>
      <c r="B187">
        <v>213.76</v>
      </c>
      <c r="C187">
        <v>3368.625</v>
      </c>
      <c r="D187">
        <v>118598</v>
      </c>
    </row>
    <row r="188" spans="1:4" x14ac:dyDescent="0.25">
      <c r="A188" s="1">
        <v>45863</v>
      </c>
      <c r="B188">
        <v>213.88</v>
      </c>
      <c r="C188">
        <v>3337.5349999999999</v>
      </c>
      <c r="D188">
        <v>116758</v>
      </c>
    </row>
    <row r="189" spans="1:4" x14ac:dyDescent="0.25">
      <c r="A189" s="1">
        <v>45866</v>
      </c>
      <c r="B189">
        <v>214.05</v>
      </c>
      <c r="C189">
        <v>3314.625</v>
      </c>
      <c r="D189">
        <v>118118</v>
      </c>
    </row>
    <row r="190" spans="1:4" x14ac:dyDescent="0.25">
      <c r="A190" s="1">
        <v>45867</v>
      </c>
      <c r="B190">
        <v>211.27</v>
      </c>
      <c r="C190">
        <v>3326.6149999999998</v>
      </c>
      <c r="D190">
        <v>117598</v>
      </c>
    </row>
    <row r="191" spans="1:4" x14ac:dyDescent="0.25">
      <c r="A191" s="1">
        <v>45868</v>
      </c>
      <c r="B191">
        <v>209.05</v>
      </c>
      <c r="C191">
        <v>3275.52</v>
      </c>
      <c r="D191">
        <v>117315</v>
      </c>
    </row>
    <row r="192" spans="1:4" x14ac:dyDescent="0.25">
      <c r="A192" s="1">
        <v>45869</v>
      </c>
      <c r="B192">
        <v>207.57</v>
      </c>
      <c r="C192">
        <v>3289.9850000000001</v>
      </c>
      <c r="D192">
        <v>116545</v>
      </c>
    </row>
    <row r="193" spans="1:4" x14ac:dyDescent="0.25">
      <c r="A193" s="1">
        <v>45870</v>
      </c>
      <c r="B193">
        <v>202.38</v>
      </c>
      <c r="C193">
        <v>3357.0949999999998</v>
      </c>
      <c r="D193">
        <v>113290</v>
      </c>
    </row>
    <row r="194" spans="1:4" x14ac:dyDescent="0.25">
      <c r="A194" s="1">
        <v>45873</v>
      </c>
      <c r="B194">
        <v>203.35</v>
      </c>
      <c r="C194">
        <v>3373.7049999999999</v>
      </c>
      <c r="D194">
        <v>115105</v>
      </c>
    </row>
    <row r="195" spans="1:4" x14ac:dyDescent="0.25">
      <c r="A195" s="1">
        <v>45874</v>
      </c>
      <c r="B195">
        <v>202.92</v>
      </c>
      <c r="C195">
        <v>3380.895</v>
      </c>
      <c r="D195">
        <v>113606</v>
      </c>
    </row>
    <row r="196" spans="1:4" x14ac:dyDescent="0.25">
      <c r="A196" s="1">
        <v>45875</v>
      </c>
      <c r="B196">
        <v>213.25</v>
      </c>
      <c r="C196">
        <v>3369.3649999999998</v>
      </c>
      <c r="D196">
        <v>115083</v>
      </c>
    </row>
    <row r="197" spans="1:4" x14ac:dyDescent="0.25">
      <c r="A197" s="1">
        <v>45876</v>
      </c>
      <c r="B197">
        <v>220.03</v>
      </c>
      <c r="C197">
        <v>3397.78</v>
      </c>
      <c r="D197">
        <v>117152</v>
      </c>
    </row>
    <row r="198" spans="1:4" x14ac:dyDescent="0.25">
      <c r="A198" s="1">
        <v>45877</v>
      </c>
      <c r="B198">
        <v>229.35</v>
      </c>
      <c r="C198">
        <v>3398.5050000000001</v>
      </c>
      <c r="D198">
        <v>116483</v>
      </c>
    </row>
    <row r="199" spans="1:4" x14ac:dyDescent="0.25">
      <c r="A199" s="1">
        <v>45880</v>
      </c>
      <c r="B199">
        <v>227.18</v>
      </c>
      <c r="C199">
        <v>3342.625</v>
      </c>
      <c r="D199">
        <v>118724</v>
      </c>
    </row>
    <row r="200" spans="1:4" x14ac:dyDescent="0.25">
      <c r="A200" s="1">
        <v>45881</v>
      </c>
      <c r="B200">
        <v>229.65</v>
      </c>
      <c r="C200">
        <v>3348.2049999999999</v>
      </c>
      <c r="D200">
        <v>119903</v>
      </c>
    </row>
    <row r="201" spans="1:4" x14ac:dyDescent="0.25">
      <c r="A201" s="1">
        <v>45882</v>
      </c>
      <c r="B201">
        <v>233.33</v>
      </c>
      <c r="C201">
        <v>3355.9949999999999</v>
      </c>
      <c r="D201">
        <v>122579</v>
      </c>
    </row>
    <row r="202" spans="1:4" x14ac:dyDescent="0.25">
      <c r="A202" s="1">
        <v>45883</v>
      </c>
      <c r="B202">
        <v>232.78</v>
      </c>
      <c r="C202">
        <v>3335.5349999999999</v>
      </c>
      <c r="D202">
        <v>117979</v>
      </c>
    </row>
    <row r="203" spans="1:4" x14ac:dyDescent="0.25">
      <c r="A203" s="1">
        <v>45884</v>
      </c>
      <c r="B203">
        <v>231.59</v>
      </c>
      <c r="C203">
        <v>3339.1350000000002</v>
      </c>
      <c r="D203">
        <v>116974</v>
      </c>
    </row>
    <row r="204" spans="1:4" x14ac:dyDescent="0.25">
      <c r="A204" s="1">
        <v>45887</v>
      </c>
      <c r="B204">
        <v>230.89</v>
      </c>
      <c r="C204">
        <v>3332.915</v>
      </c>
      <c r="D204">
        <v>116719</v>
      </c>
    </row>
    <row r="205" spans="1:4" x14ac:dyDescent="0.25">
      <c r="A205" s="1">
        <v>45888</v>
      </c>
      <c r="B205">
        <v>230.56</v>
      </c>
      <c r="C205">
        <v>3315.9</v>
      </c>
      <c r="D205">
        <v>113430</v>
      </c>
    </row>
    <row r="206" spans="1:4" x14ac:dyDescent="0.25">
      <c r="A206" s="1">
        <v>45889</v>
      </c>
      <c r="B206">
        <v>226.01</v>
      </c>
      <c r="C206">
        <v>3348.5149999999999</v>
      </c>
      <c r="D206">
        <v>114390</v>
      </c>
    </row>
    <row r="207" spans="1:4" x14ac:dyDescent="0.25">
      <c r="A207" s="1">
        <v>45890</v>
      </c>
      <c r="B207">
        <v>224.9</v>
      </c>
      <c r="C207">
        <v>3339.0749999999998</v>
      </c>
      <c r="D207">
        <v>112619</v>
      </c>
    </row>
    <row r="208" spans="1:4" x14ac:dyDescent="0.25">
      <c r="A208" s="1">
        <v>45891</v>
      </c>
      <c r="B208">
        <v>227.76</v>
      </c>
      <c r="C208">
        <v>3373.2350000000001</v>
      </c>
      <c r="D208">
        <v>116617</v>
      </c>
    </row>
    <row r="209" spans="1:4" x14ac:dyDescent="0.25">
      <c r="A209" s="1">
        <v>45894</v>
      </c>
      <c r="B209">
        <v>227.16</v>
      </c>
      <c r="C209">
        <v>3365.7750000000001</v>
      </c>
      <c r="D209">
        <v>109899</v>
      </c>
    </row>
    <row r="210" spans="1:4" x14ac:dyDescent="0.25">
      <c r="A210" s="1">
        <v>45895</v>
      </c>
      <c r="B210">
        <v>229.31</v>
      </c>
      <c r="C210">
        <v>3393.6849999999999</v>
      </c>
      <c r="D210">
        <v>111607</v>
      </c>
    </row>
    <row r="211" spans="1:4" x14ac:dyDescent="0.25">
      <c r="A211" s="1">
        <v>45896</v>
      </c>
      <c r="B211">
        <v>230.49</v>
      </c>
      <c r="C211">
        <v>3397.4749999999999</v>
      </c>
      <c r="D211">
        <v>111549</v>
      </c>
    </row>
    <row r="212" spans="1:4" x14ac:dyDescent="0.25">
      <c r="A212" s="1">
        <v>45897</v>
      </c>
      <c r="B212">
        <v>232.56</v>
      </c>
      <c r="C212">
        <v>3416.6149999999998</v>
      </c>
      <c r="D212">
        <v>112047</v>
      </c>
    </row>
    <row r="213" spans="1:4" x14ac:dyDescent="0.25">
      <c r="A213" s="1">
        <v>45898</v>
      </c>
      <c r="B213">
        <v>232.14</v>
      </c>
      <c r="C213">
        <v>3452.355</v>
      </c>
      <c r="D213">
        <v>108198</v>
      </c>
    </row>
    <row r="214" spans="1:4" x14ac:dyDescent="0.25">
      <c r="A214" s="1">
        <v>45902</v>
      </c>
      <c r="B214">
        <v>229.72</v>
      </c>
      <c r="C214">
        <v>3533.125</v>
      </c>
      <c r="D214">
        <v>111198</v>
      </c>
    </row>
    <row r="215" spans="1:4" x14ac:dyDescent="0.25">
      <c r="A215" s="1">
        <v>45903</v>
      </c>
      <c r="B215">
        <v>238.47</v>
      </c>
      <c r="C215">
        <v>3559.605</v>
      </c>
      <c r="D215">
        <v>112034</v>
      </c>
    </row>
    <row r="216" spans="1:4" x14ac:dyDescent="0.25">
      <c r="A216" s="1">
        <v>45904</v>
      </c>
      <c r="B216">
        <v>239.78</v>
      </c>
      <c r="C216">
        <v>3545.9549999999999</v>
      </c>
      <c r="D216">
        <v>110522</v>
      </c>
    </row>
    <row r="217" spans="1:4" x14ac:dyDescent="0.25">
      <c r="A217" s="1">
        <v>45905</v>
      </c>
      <c r="B217">
        <v>239.69</v>
      </c>
      <c r="C217">
        <v>3594.6849999999999</v>
      </c>
      <c r="D217">
        <v>111683</v>
      </c>
    </row>
    <row r="218" spans="1:4" x14ac:dyDescent="0.25">
      <c r="A218" s="1">
        <v>45908</v>
      </c>
      <c r="B218">
        <v>237.88</v>
      </c>
      <c r="C218">
        <v>3636.02</v>
      </c>
      <c r="D218">
        <v>112348</v>
      </c>
    </row>
    <row r="219" spans="1:4" x14ac:dyDescent="0.25">
      <c r="A219" s="1">
        <v>45909</v>
      </c>
      <c r="B219">
        <v>234.35</v>
      </c>
      <c r="C219">
        <v>3626.01</v>
      </c>
      <c r="D219">
        <v>111322</v>
      </c>
    </row>
    <row r="220" spans="1:4" x14ac:dyDescent="0.25">
      <c r="A220" s="1">
        <v>45910</v>
      </c>
      <c r="B220">
        <v>226.79</v>
      </c>
      <c r="C220">
        <v>3640.7049999999999</v>
      </c>
      <c r="D220">
        <v>113879</v>
      </c>
    </row>
    <row r="221" spans="1:4" x14ac:dyDescent="0.25">
      <c r="A221" s="1">
        <v>45911</v>
      </c>
      <c r="B221">
        <v>230.03</v>
      </c>
      <c r="C221">
        <v>3634.0349999999999</v>
      </c>
      <c r="D221">
        <v>114539</v>
      </c>
    </row>
    <row r="222" spans="1:4" x14ac:dyDescent="0.25">
      <c r="A222" s="1">
        <v>45912</v>
      </c>
      <c r="B222">
        <v>234.07</v>
      </c>
      <c r="C222">
        <v>3644.1849999999999</v>
      </c>
      <c r="D222">
        <v>116612</v>
      </c>
    </row>
    <row r="223" spans="1:4" x14ac:dyDescent="0.25">
      <c r="A223" s="1">
        <v>45915</v>
      </c>
      <c r="B223">
        <v>236.7</v>
      </c>
      <c r="C223">
        <v>3679.2449999999999</v>
      </c>
      <c r="D223">
        <v>115562</v>
      </c>
    </row>
    <row r="224" spans="1:4" x14ac:dyDescent="0.25">
      <c r="A224" s="1">
        <v>45916</v>
      </c>
      <c r="B224">
        <v>238.15</v>
      </c>
      <c r="C224">
        <v>3689.8049999999998</v>
      </c>
      <c r="D224">
        <v>116847</v>
      </c>
    </row>
    <row r="225" spans="1:4" x14ac:dyDescent="0.25">
      <c r="A225" s="1">
        <v>45917</v>
      </c>
      <c r="B225">
        <v>238.99</v>
      </c>
      <c r="C225">
        <v>3659.65</v>
      </c>
      <c r="D225">
        <v>116096</v>
      </c>
    </row>
    <row r="226" spans="1:4" x14ac:dyDescent="0.25">
      <c r="A226" s="1">
        <v>45918</v>
      </c>
      <c r="B226">
        <v>237.88</v>
      </c>
      <c r="C226">
        <v>3644.4749999999999</v>
      </c>
      <c r="D226">
        <v>117357</v>
      </c>
    </row>
    <row r="227" spans="1:4" x14ac:dyDescent="0.25">
      <c r="A227" s="1">
        <v>45919</v>
      </c>
      <c r="B227">
        <v>245.5</v>
      </c>
      <c r="C227">
        <v>3684.4450000000002</v>
      </c>
      <c r="D227">
        <v>115210</v>
      </c>
    </row>
    <row r="228" spans="1:4" x14ac:dyDescent="0.25">
      <c r="A228" s="1">
        <v>45922</v>
      </c>
      <c r="B228">
        <v>256.08</v>
      </c>
      <c r="C228">
        <v>3746.5</v>
      </c>
      <c r="D228">
        <v>113049</v>
      </c>
    </row>
    <row r="229" spans="1:4" x14ac:dyDescent="0.25">
      <c r="A229" s="1">
        <v>45923</v>
      </c>
      <c r="B229">
        <v>254.43</v>
      </c>
      <c r="C229">
        <v>3764.68</v>
      </c>
      <c r="D229">
        <v>112217</v>
      </c>
    </row>
    <row r="230" spans="1:4" x14ac:dyDescent="0.25">
      <c r="A230" s="1">
        <v>45924</v>
      </c>
      <c r="B230">
        <v>252.31</v>
      </c>
      <c r="C230">
        <v>3736.1350000000002</v>
      </c>
      <c r="D230">
        <v>113407</v>
      </c>
    </row>
    <row r="231" spans="1:4" x14ac:dyDescent="0.25">
      <c r="A231" s="1">
        <v>45925</v>
      </c>
      <c r="B231">
        <v>256.87</v>
      </c>
      <c r="C231">
        <v>3749.375</v>
      </c>
      <c r="D231">
        <v>109467</v>
      </c>
    </row>
    <row r="232" spans="1:4" x14ac:dyDescent="0.25">
      <c r="A232" s="1">
        <v>45926</v>
      </c>
      <c r="B232">
        <v>255.46</v>
      </c>
      <c r="C232">
        <v>3766.7150000000001</v>
      </c>
      <c r="D232">
        <v>109223</v>
      </c>
    </row>
    <row r="233" spans="1:4" x14ac:dyDescent="0.25">
      <c r="A233" s="1">
        <v>45929</v>
      </c>
      <c r="B233">
        <v>254.43</v>
      </c>
      <c r="C233">
        <v>3833.46</v>
      </c>
      <c r="D233">
        <v>114268</v>
      </c>
    </row>
    <row r="234" spans="1:4" x14ac:dyDescent="0.25">
      <c r="A234" s="1">
        <v>45930</v>
      </c>
      <c r="B234">
        <v>254.63</v>
      </c>
      <c r="C234">
        <v>3858.72</v>
      </c>
      <c r="D234">
        <v>114232</v>
      </c>
    </row>
    <row r="235" spans="1:4" x14ac:dyDescent="0.25">
      <c r="A235" s="1">
        <v>45931</v>
      </c>
      <c r="B235">
        <v>255.45</v>
      </c>
      <c r="C235">
        <v>3865.7449999999999</v>
      </c>
      <c r="D235">
        <v>117637</v>
      </c>
    </row>
    <row r="236" spans="1:4" x14ac:dyDescent="0.25">
      <c r="A236" s="1">
        <v>45932</v>
      </c>
      <c r="B236">
        <v>257.13</v>
      </c>
      <c r="C236">
        <v>3856.605</v>
      </c>
      <c r="D236">
        <v>120246</v>
      </c>
    </row>
    <row r="237" spans="1:4" x14ac:dyDescent="0.25">
      <c r="A237" s="1">
        <v>45933</v>
      </c>
      <c r="B237">
        <v>258.02</v>
      </c>
      <c r="C237">
        <v>3885.9250000000002</v>
      </c>
      <c r="D237">
        <v>122679</v>
      </c>
    </row>
    <row r="238" spans="1:4" x14ac:dyDescent="0.25">
      <c r="A238" s="1">
        <v>45936</v>
      </c>
      <c r="B238">
        <v>256.69</v>
      </c>
      <c r="C238">
        <v>3960.0549999999998</v>
      </c>
      <c r="D238">
        <v>125173</v>
      </c>
    </row>
    <row r="239" spans="1:4" x14ac:dyDescent="0.25">
      <c r="A239" s="1">
        <v>45937</v>
      </c>
      <c r="B239">
        <v>256.48</v>
      </c>
      <c r="C239">
        <v>3984.8449999999998</v>
      </c>
      <c r="D239">
        <v>122101</v>
      </c>
    </row>
    <row r="240" spans="1:4" x14ac:dyDescent="0.25">
      <c r="A240" s="1">
        <v>45938</v>
      </c>
      <c r="B240">
        <v>258.06</v>
      </c>
      <c r="C240">
        <v>4041.01</v>
      </c>
      <c r="D240">
        <v>123322</v>
      </c>
    </row>
    <row r="241" spans="1:4" x14ac:dyDescent="0.25">
      <c r="A241" s="1">
        <v>45939</v>
      </c>
      <c r="B241">
        <v>254.04</v>
      </c>
      <c r="C241">
        <v>3977.06</v>
      </c>
      <c r="D241">
        <v>121534</v>
      </c>
    </row>
    <row r="242" spans="1:4" x14ac:dyDescent="0.25">
      <c r="A242" s="1">
        <v>45940</v>
      </c>
      <c r="B242">
        <v>245.27</v>
      </c>
      <c r="C242">
        <v>4010.6750000000002</v>
      </c>
      <c r="D242">
        <v>116781</v>
      </c>
    </row>
    <row r="243" spans="1:4" x14ac:dyDescent="0.25">
      <c r="A243" s="1">
        <v>45943</v>
      </c>
      <c r="B243">
        <v>247.66</v>
      </c>
      <c r="C243">
        <v>4110.2299999999996</v>
      </c>
      <c r="D243">
        <v>115804</v>
      </c>
    </row>
    <row r="244" spans="1:4" x14ac:dyDescent="0.25">
      <c r="A244" s="1">
        <v>45944</v>
      </c>
      <c r="B244">
        <v>247.77</v>
      </c>
      <c r="C244">
        <v>4141.9799999999996</v>
      </c>
      <c r="D244">
        <v>113196</v>
      </c>
    </row>
    <row r="245" spans="1:4" x14ac:dyDescent="0.25">
      <c r="A245" s="1">
        <v>45945</v>
      </c>
      <c r="B245">
        <v>249.34</v>
      </c>
      <c r="C245">
        <v>4208.05</v>
      </c>
      <c r="D245">
        <v>110886</v>
      </c>
    </row>
    <row r="246" spans="1:4" x14ac:dyDescent="0.25">
      <c r="A246" s="1">
        <v>45946</v>
      </c>
      <c r="B246">
        <v>247.45</v>
      </c>
      <c r="C246">
        <v>4328.08</v>
      </c>
      <c r="D246">
        <v>108487</v>
      </c>
    </row>
    <row r="247" spans="1:4" x14ac:dyDescent="0.25">
      <c r="A247" s="1">
        <v>45947</v>
      </c>
      <c r="B247">
        <v>252.29</v>
      </c>
      <c r="C247">
        <v>4225.3850000000002</v>
      </c>
      <c r="D247">
        <v>106480</v>
      </c>
    </row>
    <row r="248" spans="1:4" x14ac:dyDescent="0.25">
      <c r="A248" s="1">
        <v>45950</v>
      </c>
      <c r="B248">
        <v>262.24</v>
      </c>
      <c r="C248">
        <v>4356.07</v>
      </c>
      <c r="D248">
        <v>110607</v>
      </c>
    </row>
    <row r="249" spans="1:4" x14ac:dyDescent="0.25">
      <c r="A249" s="1">
        <v>45951</v>
      </c>
      <c r="B249">
        <v>262.77</v>
      </c>
      <c r="C249">
        <v>4124.82</v>
      </c>
      <c r="D249">
        <v>110931</v>
      </c>
    </row>
    <row r="250" spans="1:4" x14ac:dyDescent="0.25">
      <c r="A250" s="1">
        <v>45952</v>
      </c>
      <c r="B250">
        <v>258.45</v>
      </c>
      <c r="C250">
        <v>4098.34</v>
      </c>
      <c r="D250">
        <v>107231</v>
      </c>
    </row>
    <row r="251" spans="1:4" x14ac:dyDescent="0.25">
      <c r="A251" s="1">
        <v>45953</v>
      </c>
      <c r="B251">
        <v>259.58</v>
      </c>
      <c r="C251">
        <v>4126.67</v>
      </c>
      <c r="D251">
        <v>109591</v>
      </c>
    </row>
    <row r="252" spans="1:4" x14ac:dyDescent="0.25">
      <c r="A252" s="1">
        <v>45954</v>
      </c>
      <c r="B252">
        <v>261.3</v>
      </c>
      <c r="C252">
        <v>4120.8450000000003</v>
      </c>
      <c r="D252">
        <v>110010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C20C-5217-455F-8B78-E4DCC7F3A8CB}">
  <dimension ref="A1:AF252"/>
  <sheetViews>
    <sheetView workbookViewId="0">
      <selection activeCell="H2" sqref="H2"/>
    </sheetView>
  </sheetViews>
  <sheetFormatPr defaultRowHeight="15" x14ac:dyDescent="0.25"/>
  <cols>
    <col min="1" max="1" width="10.7109375" style="1" bestFit="1" customWidth="1"/>
    <col min="2" max="2" width="11.42578125" hidden="1" customWidth="1"/>
    <col min="3" max="3" width="11.42578125" customWidth="1"/>
    <col min="4" max="4" width="12" bestFit="1" customWidth="1"/>
    <col min="5" max="5" width="14.28515625" hidden="1" customWidth="1"/>
    <col min="6" max="6" width="13.140625" bestFit="1" customWidth="1"/>
    <col min="7" max="7" width="13.140625" hidden="1" customWidth="1"/>
    <col min="8" max="8" width="12" bestFit="1" customWidth="1"/>
    <col min="9" max="9" width="15.140625" hidden="1" customWidth="1"/>
    <col min="19" max="19" width="12.7109375" bestFit="1" customWidth="1"/>
    <col min="20" max="21" width="10.140625" bestFit="1" customWidth="1"/>
    <col min="23" max="23" width="11.28515625" bestFit="1" customWidth="1"/>
    <col min="28" max="28" width="11.85546875" bestFit="1" customWidth="1"/>
    <col min="29" max="29" width="15" bestFit="1" customWidth="1"/>
    <col min="30" max="31" width="14.28515625" bestFit="1" customWidth="1"/>
    <col min="32" max="32" width="12" bestFit="1" customWidth="1"/>
  </cols>
  <sheetData>
    <row r="1" spans="1:32" x14ac:dyDescent="0.25">
      <c r="A1" s="1" t="str" cm="1">
        <f t="array" ref="A1:A252">Merged_data[[#All],[Date]]</f>
        <v>Date</v>
      </c>
      <c r="B1" t="str" cm="1">
        <f t="array" ref="B1:B252">Merged_data[[#All],[AAPL_Close]]</f>
        <v>AAPL_Close</v>
      </c>
      <c r="C1" t="s">
        <v>0</v>
      </c>
      <c r="D1" t="s">
        <v>75</v>
      </c>
      <c r="E1" t="str" cm="1">
        <f t="array" ref="E1:E252">Merged_data[[#All],[XAUUSD_Close]]</f>
        <v>XAUUSD_Close</v>
      </c>
      <c r="F1" t="s">
        <v>70</v>
      </c>
      <c r="G1" t="str" cm="1">
        <f t="array" ref="G1:G252">Merged_data[[#All],[BTCUSD_Close]]</f>
        <v>BTCUSD_Close</v>
      </c>
      <c r="H1" t="s">
        <v>68</v>
      </c>
      <c r="I1" t="str" cm="1">
        <f t="array" ref="I1:I251">'Kupeic Test'!E1:E251</f>
        <v>Portfolio_return</v>
      </c>
      <c r="J1" t="s">
        <v>69</v>
      </c>
      <c r="AB1" s="35" t="s">
        <v>73</v>
      </c>
      <c r="AC1" s="35"/>
    </row>
    <row r="2" spans="1:32" x14ac:dyDescent="0.25">
      <c r="A2" s="1">
        <v>45589</v>
      </c>
      <c r="B2">
        <v>230.06399999999999</v>
      </c>
      <c r="C2" t="str">
        <f>TEXT(A2, "mmm yyyy")</f>
        <v>Oct 2024</v>
      </c>
      <c r="D2">
        <f>B2/$B$2*100</f>
        <v>100</v>
      </c>
      <c r="E2">
        <v>2735.9850000000001</v>
      </c>
      <c r="F2">
        <f>E2/$E$2*100</f>
        <v>100</v>
      </c>
      <c r="G2">
        <v>68306.399999999994</v>
      </c>
      <c r="H2">
        <f>G2/$G$2*100</f>
        <v>100</v>
      </c>
      <c r="I2">
        <v>0</v>
      </c>
      <c r="J2">
        <v>100</v>
      </c>
      <c r="S2" t="str" cm="1">
        <f t="array" aca="1" ref="S2:U5" ca="1">'Kupeic Test'!J7:L10</f>
        <v>VaR Methods</v>
      </c>
      <c r="T2" t="str">
        <f ca="1"/>
        <v>99% CI</v>
      </c>
      <c r="U2" t="str">
        <f ca="1"/>
        <v>95% CI</v>
      </c>
      <c r="W2" t="str" cm="1">
        <f t="array" ref="W2:Z4">'Kupeic Test'!J1:M3</f>
        <v>Stocks</v>
      </c>
      <c r="X2" t="str">
        <v>BTCUSD</v>
      </c>
      <c r="Y2" t="str">
        <v>XAUUSD</v>
      </c>
      <c r="Z2" t="str">
        <v>AAPL</v>
      </c>
      <c r="AB2" t="s">
        <v>71</v>
      </c>
      <c r="AC2" t="s">
        <v>72</v>
      </c>
      <c r="AD2" s="27" t="str" cm="1">
        <f t="array" ref="AD2:AD5">AB2:AB5</f>
        <v>Methods</v>
      </c>
      <c r="AE2" s="27" t="str">
        <f>'Kupeic Test'!J18</f>
        <v>p value</v>
      </c>
      <c r="AF2" s="27" t="s">
        <v>74</v>
      </c>
    </row>
    <row r="3" spans="1:32" x14ac:dyDescent="0.25">
      <c r="A3" s="1">
        <v>45590</v>
      </c>
      <c r="B3">
        <v>230.90199999999999</v>
      </c>
      <c r="C3" t="str">
        <f t="shared" ref="C3:C66" si="0">TEXT(A3, "mmm yyyy")</f>
        <v>Oct 2024</v>
      </c>
      <c r="D3" s="21">
        <f>B3/$B$2*100</f>
        <v>100.36424647054731</v>
      </c>
      <c r="E3">
        <v>2742.5349999999999</v>
      </c>
      <c r="F3" s="21">
        <f t="shared" ref="F3:F66" si="1">E3/$E$2*100</f>
        <v>100.23940189730571</v>
      </c>
      <c r="G3">
        <v>66786.399999999994</v>
      </c>
      <c r="H3" s="21">
        <f t="shared" ref="H3:H66" si="2">G3/$G$2*100</f>
        <v>97.774732675122678</v>
      </c>
      <c r="I3">
        <v>-4.6254549737671739E-3</v>
      </c>
      <c r="J3" s="21">
        <f>J2 * (1 + I3)</f>
        <v>99.537454502623277</v>
      </c>
      <c r="S3" t="str">
        <f ca="1"/>
        <v xml:space="preserve">Historical </v>
      </c>
      <c r="T3" s="12">
        <f ca="1"/>
        <v>32536.520933512671</v>
      </c>
      <c r="U3" s="12">
        <f ca="1"/>
        <v>17449.262297023964</v>
      </c>
      <c r="W3" t="str">
        <v>Weights</v>
      </c>
      <c r="X3" s="23">
        <v>0.3</v>
      </c>
      <c r="Y3" s="23">
        <v>0.4</v>
      </c>
      <c r="Z3" s="23">
        <v>0.3</v>
      </c>
      <c r="AB3" t="str">
        <f>'Kupeic Test'!M12</f>
        <v>Monte Carlo</v>
      </c>
      <c r="AC3">
        <f ca="1">'Kupeic Test'!M14</f>
        <v>3</v>
      </c>
      <c r="AD3" s="28" t="str">
        <v>Monte Carlo</v>
      </c>
      <c r="AE3" s="29">
        <f ca="1">'Kupeic Test'!M18</f>
        <v>0.75299277749896165</v>
      </c>
      <c r="AF3" t="str">
        <f ca="1">'Kupeic Test'!M19</f>
        <v>Reliable</v>
      </c>
    </row>
    <row r="4" spans="1:32" x14ac:dyDescent="0.25">
      <c r="A4" s="1">
        <v>45593</v>
      </c>
      <c r="B4">
        <v>232.887</v>
      </c>
      <c r="C4" t="str">
        <f t="shared" si="0"/>
        <v>Oct 2024</v>
      </c>
      <c r="D4" s="21">
        <f t="shared" ref="D4:D67" si="3">B4/$B$2*100</f>
        <v>101.22704986438558</v>
      </c>
      <c r="E4">
        <v>2742.2249999999999</v>
      </c>
      <c r="F4" s="21">
        <f t="shared" si="1"/>
        <v>100.22807142583017</v>
      </c>
      <c r="G4">
        <v>69912.899999999994</v>
      </c>
      <c r="H4" s="21">
        <f t="shared" si="2"/>
        <v>102.35190260356278</v>
      </c>
      <c r="I4">
        <v>1.6577829490065876E-2</v>
      </c>
      <c r="J4" s="21">
        <f t="shared" ref="J4:J67" si="4">J3 * (1 + I4)</f>
        <v>101.18756945124295</v>
      </c>
      <c r="S4" t="str">
        <f ca="1"/>
        <v xml:space="preserve">Parametric </v>
      </c>
      <c r="T4" s="12">
        <f ca="1"/>
        <v>27930.257085124824</v>
      </c>
      <c r="U4" s="12">
        <f ca="1"/>
        <v>19286.185361585529</v>
      </c>
      <c r="W4" t="str">
        <v>Stock Value</v>
      </c>
      <c r="X4">
        <v>300000</v>
      </c>
      <c r="Y4">
        <v>400000</v>
      </c>
      <c r="Z4">
        <v>300000</v>
      </c>
      <c r="AB4" t="str">
        <f>'Kupeic Test'!K12</f>
        <v>Historical</v>
      </c>
      <c r="AC4">
        <f>'Kupeic Test'!K14</f>
        <v>6</v>
      </c>
      <c r="AD4" s="28" t="str">
        <v>Historical</v>
      </c>
      <c r="AE4" s="30">
        <f>'Kupeic Test'!K18</f>
        <v>5.8340691833682082E-2</v>
      </c>
      <c r="AF4" t="str">
        <f>'Kupeic Test'!K19</f>
        <v>Reliable</v>
      </c>
    </row>
    <row r="5" spans="1:32" x14ac:dyDescent="0.25">
      <c r="A5" s="1">
        <v>45594</v>
      </c>
      <c r="B5">
        <v>233.15700000000001</v>
      </c>
      <c r="C5" t="str">
        <f t="shared" si="0"/>
        <v>Oct 2024</v>
      </c>
      <c r="D5" s="21">
        <f t="shared" si="3"/>
        <v>101.34440851241395</v>
      </c>
      <c r="E5">
        <v>2774.68</v>
      </c>
      <c r="F5" s="21">
        <f t="shared" si="1"/>
        <v>101.41429868950304</v>
      </c>
      <c r="G5">
        <v>72616.800000000003</v>
      </c>
      <c r="H5" s="21">
        <f t="shared" si="2"/>
        <v>106.31038965602053</v>
      </c>
      <c r="I5">
        <v>1.668449984407323E-2</v>
      </c>
      <c r="J5" s="21">
        <f t="shared" si="4"/>
        <v>102.87583343797435</v>
      </c>
      <c r="S5" t="str">
        <f ca="1"/>
        <v xml:space="preserve">Monte Carlo </v>
      </c>
      <c r="T5" s="12">
        <f ca="1"/>
        <v>36995.535055472501</v>
      </c>
      <c r="U5" s="12">
        <f ca="1"/>
        <v>28559.017012131484</v>
      </c>
      <c r="AB5" t="str">
        <f>'Kupeic Test'!L12</f>
        <v>Parametric</v>
      </c>
      <c r="AC5">
        <f>'Kupeic Test'!L14</f>
        <v>8</v>
      </c>
      <c r="AD5" s="28" t="str">
        <v>Parametric</v>
      </c>
      <c r="AE5" s="30">
        <f>'Kupeic Test'!L18</f>
        <v>5.2867903501268628E-3</v>
      </c>
      <c r="AF5" t="str">
        <f>'Kupeic Test'!L19</f>
        <v>Not Reliable</v>
      </c>
    </row>
    <row r="6" spans="1:32" x14ac:dyDescent="0.25">
      <c r="A6" s="1">
        <v>45595</v>
      </c>
      <c r="B6">
        <v>229.595</v>
      </c>
      <c r="C6" t="str">
        <f t="shared" si="0"/>
        <v>Oct 2024</v>
      </c>
      <c r="D6" s="21">
        <f t="shared" si="3"/>
        <v>99.796143681758124</v>
      </c>
      <c r="E6">
        <v>2787.59</v>
      </c>
      <c r="F6" s="21">
        <f t="shared" si="1"/>
        <v>101.88615800159724</v>
      </c>
      <c r="G6">
        <v>72374.600000000006</v>
      </c>
      <c r="H6" s="21">
        <f t="shared" si="2"/>
        <v>105.95581087570127</v>
      </c>
      <c r="I6">
        <v>-3.7226572463312617E-3</v>
      </c>
      <c r="J6" s="21">
        <f t="shared" si="4"/>
        <v>102.49286197115411</v>
      </c>
    </row>
    <row r="7" spans="1:32" x14ac:dyDescent="0.25">
      <c r="A7" s="1">
        <v>45596</v>
      </c>
      <c r="B7">
        <v>225.41399999999999</v>
      </c>
      <c r="C7" t="str">
        <f t="shared" si="0"/>
        <v>Oct 2024</v>
      </c>
      <c r="D7" s="21">
        <f t="shared" si="3"/>
        <v>97.978823283955762</v>
      </c>
      <c r="E7">
        <v>2746.2049999999999</v>
      </c>
      <c r="F7" s="21">
        <f t="shared" si="1"/>
        <v>100.37354005961289</v>
      </c>
      <c r="G7">
        <v>70371.899999999994</v>
      </c>
      <c r="H7" s="21">
        <f t="shared" si="2"/>
        <v>103.02387477600928</v>
      </c>
      <c r="I7">
        <v>-1.970295406752659E-2</v>
      </c>
      <c r="J7" s="21">
        <f t="shared" si="4"/>
        <v>100.47344981948712</v>
      </c>
    </row>
    <row r="8" spans="1:32" x14ac:dyDescent="0.25">
      <c r="A8" s="1">
        <v>45597</v>
      </c>
      <c r="B8">
        <v>222.42</v>
      </c>
      <c r="C8" t="str">
        <f t="shared" si="0"/>
        <v>Nov 2024</v>
      </c>
      <c r="D8" s="21">
        <f t="shared" si="3"/>
        <v>96.677446275818895</v>
      </c>
      <c r="E8">
        <v>2736.5149999999999</v>
      </c>
      <c r="F8" s="21">
        <f t="shared" si="1"/>
        <v>100.01937145123236</v>
      </c>
      <c r="G8">
        <v>69192.600000000006</v>
      </c>
      <c r="H8" s="21">
        <f t="shared" si="2"/>
        <v>101.29738941006994</v>
      </c>
      <c r="I8">
        <v>-1.0423503315844063E-2</v>
      </c>
      <c r="J8" s="21">
        <f t="shared" si="4"/>
        <v>99.426164482139399</v>
      </c>
    </row>
    <row r="9" spans="1:32" x14ac:dyDescent="0.25">
      <c r="A9" s="1">
        <v>45600</v>
      </c>
      <c r="B9">
        <v>221.52199999999999</v>
      </c>
      <c r="C9" t="str">
        <f t="shared" si="0"/>
        <v>Nov 2024</v>
      </c>
      <c r="D9" s="21">
        <f t="shared" si="3"/>
        <v>96.287120105709718</v>
      </c>
      <c r="E9">
        <v>2736.6849999999999</v>
      </c>
      <c r="F9" s="21">
        <f t="shared" si="1"/>
        <v>100.02558493558993</v>
      </c>
      <c r="G9">
        <v>67885.399999999994</v>
      </c>
      <c r="H9" s="21">
        <f t="shared" si="2"/>
        <v>99.383659510675429</v>
      </c>
      <c r="I9">
        <v>-6.8540309907816448E-3</v>
      </c>
      <c r="J9" s="21">
        <f t="shared" si="4"/>
        <v>98.744694469484259</v>
      </c>
    </row>
    <row r="10" spans="1:32" x14ac:dyDescent="0.25">
      <c r="A10" s="1">
        <v>45601</v>
      </c>
      <c r="B10">
        <v>222.959</v>
      </c>
      <c r="C10" t="str">
        <f t="shared" si="0"/>
        <v>Nov 2024</v>
      </c>
      <c r="D10" s="21">
        <f t="shared" si="3"/>
        <v>96.911728910216283</v>
      </c>
      <c r="E10">
        <v>2743.9949999999999</v>
      </c>
      <c r="F10" s="21">
        <f t="shared" si="1"/>
        <v>100.29276476296469</v>
      </c>
      <c r="G10">
        <v>69586</v>
      </c>
      <c r="H10" s="21">
        <f t="shared" si="2"/>
        <v>101.87332372954805</v>
      </c>
      <c r="I10">
        <v>1.0529840623894992E-2</v>
      </c>
      <c r="J10" s="21">
        <f t="shared" si="4"/>
        <v>99.784460364703122</v>
      </c>
    </row>
    <row r="11" spans="1:32" x14ac:dyDescent="0.25">
      <c r="A11" s="1">
        <v>45602</v>
      </c>
      <c r="B11">
        <v>222.23099999999999</v>
      </c>
      <c r="C11" t="str">
        <f t="shared" si="0"/>
        <v>Nov 2024</v>
      </c>
      <c r="D11" s="21">
        <f t="shared" si="3"/>
        <v>96.595295222199042</v>
      </c>
      <c r="E11">
        <v>2659.0549999999998</v>
      </c>
      <c r="F11" s="21">
        <f t="shared" si="1"/>
        <v>97.188215578667268</v>
      </c>
      <c r="G11">
        <v>75684.100000000006</v>
      </c>
      <c r="H11" s="21">
        <f t="shared" si="2"/>
        <v>110.80089127812329</v>
      </c>
      <c r="I11">
        <v>1.2928702997661809E-2</v>
      </c>
      <c r="J11" s="21">
        <f t="shared" si="4"/>
        <v>101.07454401654033</v>
      </c>
    </row>
    <row r="12" spans="1:32" x14ac:dyDescent="0.25">
      <c r="A12" s="1">
        <v>45603</v>
      </c>
      <c r="B12">
        <v>226.98</v>
      </c>
      <c r="C12" t="str">
        <f t="shared" si="0"/>
        <v>Nov 2024</v>
      </c>
      <c r="D12" s="21">
        <f t="shared" si="3"/>
        <v>98.659503442520332</v>
      </c>
      <c r="E12">
        <v>2706.51</v>
      </c>
      <c r="F12" s="21">
        <f t="shared" si="1"/>
        <v>98.922691462124249</v>
      </c>
      <c r="G12">
        <v>75908.2</v>
      </c>
      <c r="H12" s="21">
        <f t="shared" si="2"/>
        <v>111.12897180937658</v>
      </c>
      <c r="I12">
        <v>1.4437820628089893E-2</v>
      </c>
      <c r="J12" s="21">
        <f t="shared" si="4"/>
        <v>102.53384015311713</v>
      </c>
    </row>
    <row r="13" spans="1:32" x14ac:dyDescent="0.25">
      <c r="A13" s="1">
        <v>45604</v>
      </c>
      <c r="B13">
        <v>226.71100000000001</v>
      </c>
      <c r="C13" t="str">
        <f t="shared" si="0"/>
        <v>Nov 2024</v>
      </c>
      <c r="D13" s="21">
        <f t="shared" si="3"/>
        <v>98.54257945615133</v>
      </c>
      <c r="E13">
        <v>2685.17</v>
      </c>
      <c r="F13" s="21">
        <f t="shared" si="1"/>
        <v>98.142716425711399</v>
      </c>
      <c r="G13">
        <v>76677.7</v>
      </c>
      <c r="H13" s="21">
        <f t="shared" si="2"/>
        <v>112.25551339259572</v>
      </c>
      <c r="I13">
        <v>-4.6824164877518087E-4</v>
      </c>
      <c r="J13" s="21">
        <f t="shared" si="4"/>
        <v>102.48582953874858</v>
      </c>
    </row>
    <row r="14" spans="1:32" x14ac:dyDescent="0.25">
      <c r="A14" s="1">
        <v>45607</v>
      </c>
      <c r="B14">
        <v>223.98400000000001</v>
      </c>
      <c r="C14" t="str">
        <f t="shared" si="0"/>
        <v>Nov 2024</v>
      </c>
      <c r="D14" s="21">
        <f t="shared" si="3"/>
        <v>97.357257111064754</v>
      </c>
      <c r="E14">
        <v>2619.54</v>
      </c>
      <c r="F14" s="21">
        <f t="shared" si="1"/>
        <v>95.743945964616032</v>
      </c>
      <c r="G14">
        <v>88143.7</v>
      </c>
      <c r="H14" s="21">
        <f t="shared" si="2"/>
        <v>129.04164177880844</v>
      </c>
      <c r="I14">
        <v>3.1475279411104326E-2</v>
      </c>
      <c r="J14" s="21">
        <f t="shared" si="4"/>
        <v>105.7115996591595</v>
      </c>
    </row>
    <row r="15" spans="1:32" x14ac:dyDescent="0.25">
      <c r="A15" s="1">
        <v>45608</v>
      </c>
      <c r="B15">
        <v>223.98400000000001</v>
      </c>
      <c r="C15" t="str">
        <f t="shared" si="0"/>
        <v>Nov 2024</v>
      </c>
      <c r="D15" s="21">
        <f t="shared" si="3"/>
        <v>97.357257111064754</v>
      </c>
      <c r="E15">
        <v>2598.2750000000001</v>
      </c>
      <c r="F15" s="21">
        <f t="shared" si="1"/>
        <v>94.966712171302106</v>
      </c>
      <c r="G15">
        <v>88638.3</v>
      </c>
      <c r="H15" s="21">
        <f t="shared" si="2"/>
        <v>129.76573205439024</v>
      </c>
      <c r="I15">
        <v>-1.5637475247486821E-3</v>
      </c>
      <c r="J15" s="21">
        <f t="shared" si="4"/>
        <v>105.54629340685527</v>
      </c>
    </row>
    <row r="16" spans="1:32" x14ac:dyDescent="0.25">
      <c r="A16" s="1">
        <v>45609</v>
      </c>
      <c r="B16">
        <v>224.87299999999999</v>
      </c>
      <c r="C16" t="str">
        <f t="shared" si="0"/>
        <v>Nov 2024</v>
      </c>
      <c r="D16" s="21">
        <f t="shared" si="3"/>
        <v>97.743671326239649</v>
      </c>
      <c r="E16">
        <v>2572.9349999999999</v>
      </c>
      <c r="F16" s="21">
        <f t="shared" si="1"/>
        <v>94.040537502946833</v>
      </c>
      <c r="G16">
        <v>89785.1</v>
      </c>
      <c r="H16" s="21">
        <f t="shared" si="2"/>
        <v>131.44463769134373</v>
      </c>
      <c r="I16">
        <v>1.171052445384912E-3</v>
      </c>
      <c r="J16" s="21">
        <f t="shared" si="4"/>
        <v>105.66989365185069</v>
      </c>
    </row>
    <row r="17" spans="1:10" x14ac:dyDescent="0.25">
      <c r="A17" s="1">
        <v>45610</v>
      </c>
      <c r="B17">
        <v>227.96899999999999</v>
      </c>
      <c r="C17" t="str">
        <f t="shared" si="0"/>
        <v>Nov 2024</v>
      </c>
      <c r="D17" s="21">
        <f t="shared" si="3"/>
        <v>99.089383823631678</v>
      </c>
      <c r="E17">
        <v>2565.0500000000002</v>
      </c>
      <c r="F17" s="21">
        <f t="shared" si="1"/>
        <v>93.752341478480332</v>
      </c>
      <c r="G17">
        <v>87718.5</v>
      </c>
      <c r="H17" s="21">
        <f t="shared" si="2"/>
        <v>128.41915252450724</v>
      </c>
      <c r="I17">
        <v>-4.000660718025806E-3</v>
      </c>
      <c r="J17" s="21">
        <f t="shared" si="4"/>
        <v>105.24714425923976</v>
      </c>
    </row>
    <row r="18" spans="1:10" x14ac:dyDescent="0.25">
      <c r="A18" s="1">
        <v>45611</v>
      </c>
      <c r="B18">
        <v>224.75299999999999</v>
      </c>
      <c r="C18" t="str">
        <f t="shared" si="0"/>
        <v>Nov 2024</v>
      </c>
      <c r="D18" s="21">
        <f t="shared" si="3"/>
        <v>97.691511927115926</v>
      </c>
      <c r="E18">
        <v>2562.33</v>
      </c>
      <c r="F18" s="21">
        <f t="shared" si="1"/>
        <v>93.65292572875947</v>
      </c>
      <c r="G18">
        <v>91283.3</v>
      </c>
      <c r="H18" s="21">
        <f t="shared" si="2"/>
        <v>133.63798999800898</v>
      </c>
      <c r="I18">
        <v>7.5354093011777085E-3</v>
      </c>
      <c r="J18" s="21">
        <f t="shared" si="4"/>
        <v>106.04022456901322</v>
      </c>
    </row>
    <row r="19" spans="1:10" x14ac:dyDescent="0.25">
      <c r="A19" s="1">
        <v>45614</v>
      </c>
      <c r="B19">
        <v>227.77</v>
      </c>
      <c r="C19" t="str">
        <f t="shared" si="0"/>
        <v>Nov 2024</v>
      </c>
      <c r="D19" s="21">
        <f t="shared" si="3"/>
        <v>99.002886153418189</v>
      </c>
      <c r="E19">
        <v>2611.87</v>
      </c>
      <c r="F19" s="21">
        <f t="shared" si="1"/>
        <v>95.463608170366427</v>
      </c>
      <c r="G19">
        <v>91239.2</v>
      </c>
      <c r="H19" s="21">
        <f t="shared" si="2"/>
        <v>133.57342796575432</v>
      </c>
      <c r="I19">
        <v>1.1615740331406133E-2</v>
      </c>
      <c r="J19" s="21">
        <f t="shared" si="4"/>
        <v>107.27196028229086</v>
      </c>
    </row>
    <row r="20" spans="1:10" x14ac:dyDescent="0.25">
      <c r="A20" s="1">
        <v>45615</v>
      </c>
      <c r="B20">
        <v>228.029</v>
      </c>
      <c r="C20" t="str">
        <f t="shared" si="0"/>
        <v>Nov 2024</v>
      </c>
      <c r="D20" s="21">
        <f t="shared" si="3"/>
        <v>99.115463523193554</v>
      </c>
      <c r="E20">
        <v>2632.2649999999999</v>
      </c>
      <c r="F20" s="21">
        <f t="shared" si="1"/>
        <v>96.209043543732875</v>
      </c>
      <c r="G20">
        <v>91942.1</v>
      </c>
      <c r="H20" s="21">
        <f t="shared" si="2"/>
        <v>134.60246770434398</v>
      </c>
      <c r="I20">
        <v>5.7757438877820144E-3</v>
      </c>
      <c r="J20" s="21">
        <f t="shared" si="4"/>
        <v>107.89153565122169</v>
      </c>
    </row>
    <row r="21" spans="1:10" x14ac:dyDescent="0.25">
      <c r="A21" s="1">
        <v>45616</v>
      </c>
      <c r="B21">
        <v>228.74799999999999</v>
      </c>
      <c r="C21" t="str">
        <f t="shared" si="0"/>
        <v>Nov 2024</v>
      </c>
      <c r="D21" s="21">
        <f t="shared" si="3"/>
        <v>99.427985256276514</v>
      </c>
      <c r="E21">
        <v>2650.2649999999999</v>
      </c>
      <c r="F21" s="21">
        <f t="shared" si="1"/>
        <v>96.866941887473786</v>
      </c>
      <c r="G21">
        <v>94225.8</v>
      </c>
      <c r="H21" s="21">
        <f t="shared" si="2"/>
        <v>137.94578546080604</v>
      </c>
      <c r="I21">
        <v>1.1132756661301558E-2</v>
      </c>
      <c r="J21" s="21">
        <f t="shared" si="4"/>
        <v>109.09266586344087</v>
      </c>
    </row>
    <row r="22" spans="1:10" x14ac:dyDescent="0.25">
      <c r="A22" s="1">
        <v>45617</v>
      </c>
      <c r="B22">
        <v>228.26900000000001</v>
      </c>
      <c r="C22" t="str">
        <f t="shared" si="0"/>
        <v>Nov 2024</v>
      </c>
      <c r="D22" s="21">
        <f t="shared" si="3"/>
        <v>99.219782321441002</v>
      </c>
      <c r="E22">
        <v>2669.665</v>
      </c>
      <c r="F22" s="21">
        <f t="shared" si="1"/>
        <v>97.576010102394562</v>
      </c>
      <c r="G22">
        <v>98427.1</v>
      </c>
      <c r="H22" s="21">
        <f t="shared" si="2"/>
        <v>144.09645362660018</v>
      </c>
      <c r="I22">
        <v>1.5676079612681047E-2</v>
      </c>
      <c r="J22" s="21">
        <f t="shared" si="4"/>
        <v>110.8028111786758</v>
      </c>
    </row>
    <row r="23" spans="1:10" x14ac:dyDescent="0.25">
      <c r="A23" s="1">
        <v>45618</v>
      </c>
      <c r="B23">
        <v>229.61799999999999</v>
      </c>
      <c r="C23" t="str">
        <f t="shared" si="0"/>
        <v>Nov 2024</v>
      </c>
      <c r="D23" s="21">
        <f t="shared" si="3"/>
        <v>99.806140899923506</v>
      </c>
      <c r="E23">
        <v>2705.95</v>
      </c>
      <c r="F23" s="21">
        <f t="shared" si="1"/>
        <v>98.902223513652288</v>
      </c>
      <c r="G23">
        <v>99189.6</v>
      </c>
      <c r="H23" s="21">
        <f t="shared" si="2"/>
        <v>145.21274726819158</v>
      </c>
      <c r="I23">
        <v>9.5336005224078597E-3</v>
      </c>
      <c r="J23" s="21">
        <f t="shared" si="4"/>
        <v>111.85916091721307</v>
      </c>
    </row>
    <row r="24" spans="1:10" x14ac:dyDescent="0.25">
      <c r="A24" s="1">
        <v>45621</v>
      </c>
      <c r="B24">
        <v>232.614</v>
      </c>
      <c r="C24" t="str">
        <f t="shared" si="0"/>
        <v>Nov 2024</v>
      </c>
      <c r="D24" s="21">
        <f t="shared" si="3"/>
        <v>101.1083872313791</v>
      </c>
      <c r="E24">
        <v>2625.23</v>
      </c>
      <c r="F24" s="21">
        <f t="shared" si="1"/>
        <v>95.951914941054127</v>
      </c>
      <c r="G24">
        <v>94373.4</v>
      </c>
      <c r="H24" s="21">
        <f t="shared" si="2"/>
        <v>138.16187062998489</v>
      </c>
      <c r="I24">
        <v>-2.2584544275885132E-2</v>
      </c>
      <c r="J24" s="21">
        <f t="shared" si="4"/>
        <v>109.33287274481491</v>
      </c>
    </row>
    <row r="25" spans="1:10" x14ac:dyDescent="0.25">
      <c r="A25" s="1">
        <v>45622</v>
      </c>
      <c r="B25">
        <v>234.80199999999999</v>
      </c>
      <c r="C25" t="str">
        <f t="shared" si="0"/>
        <v>Nov 2024</v>
      </c>
      <c r="D25" s="21">
        <f t="shared" si="3"/>
        <v>102.05942694206828</v>
      </c>
      <c r="E25">
        <v>2633.2249999999999</v>
      </c>
      <c r="F25" s="21">
        <f t="shared" si="1"/>
        <v>96.244131455399057</v>
      </c>
      <c r="G25">
        <v>91754.9</v>
      </c>
      <c r="H25" s="21">
        <f t="shared" si="2"/>
        <v>134.32840846538539</v>
      </c>
      <c r="I25">
        <v>-4.2838285567342489E-3</v>
      </c>
      <c r="J25" s="21">
        <f t="shared" si="4"/>
        <v>108.86450946236087</v>
      </c>
    </row>
    <row r="26" spans="1:10" x14ac:dyDescent="0.25">
      <c r="A26" s="1">
        <v>45623</v>
      </c>
      <c r="B26">
        <v>234.672</v>
      </c>
      <c r="C26" t="str">
        <f t="shared" si="0"/>
        <v>Nov 2024</v>
      </c>
      <c r="D26" s="21">
        <f t="shared" si="3"/>
        <v>102.00292092635092</v>
      </c>
      <c r="E26">
        <v>2635.9450000000002</v>
      </c>
      <c r="F26" s="21">
        <f t="shared" si="1"/>
        <v>96.343547205119918</v>
      </c>
      <c r="G26">
        <v>96132.5</v>
      </c>
      <c r="H26" s="21">
        <f t="shared" si="2"/>
        <v>140.73717836103208</v>
      </c>
      <c r="I26">
        <v>1.4559998240943728E-2</v>
      </c>
      <c r="J26" s="21">
        <f t="shared" si="4"/>
        <v>110.44957652863404</v>
      </c>
    </row>
    <row r="27" spans="1:10" x14ac:dyDescent="0.25">
      <c r="A27" s="1">
        <v>45625</v>
      </c>
      <c r="B27">
        <v>237.06899999999999</v>
      </c>
      <c r="C27" t="str">
        <f t="shared" si="0"/>
        <v>Nov 2024</v>
      </c>
      <c r="D27" s="21">
        <f t="shared" si="3"/>
        <v>103.04480492384727</v>
      </c>
      <c r="E27">
        <v>2650.4549999999999</v>
      </c>
      <c r="F27" s="21">
        <f t="shared" si="1"/>
        <v>96.873886369991055</v>
      </c>
      <c r="G27">
        <v>97373.8</v>
      </c>
      <c r="H27" s="21">
        <f t="shared" si="2"/>
        <v>142.55443120995986</v>
      </c>
      <c r="I27">
        <v>9.139859795850391E-3</v>
      </c>
      <c r="J27" s="21">
        <f t="shared" si="4"/>
        <v>111.45907017261679</v>
      </c>
    </row>
    <row r="28" spans="1:10" x14ac:dyDescent="0.25">
      <c r="A28" s="1">
        <v>45628</v>
      </c>
      <c r="B28">
        <v>239.327</v>
      </c>
      <c r="C28" t="str">
        <f t="shared" si="0"/>
        <v>Dec 2024</v>
      </c>
      <c r="D28" s="21">
        <f t="shared" si="3"/>
        <v>104.02627095069199</v>
      </c>
      <c r="E28">
        <v>2639.06</v>
      </c>
      <c r="F28" s="21">
        <f t="shared" si="1"/>
        <v>96.45740016849507</v>
      </c>
      <c r="G28">
        <v>95406.1</v>
      </c>
      <c r="H28" s="21">
        <f t="shared" si="2"/>
        <v>139.6737348184065</v>
      </c>
      <c r="I28">
        <v>-4.9246171235963424E-3</v>
      </c>
      <c r="J28" s="21">
        <f t="shared" si="4"/>
        <v>110.9101769270646</v>
      </c>
    </row>
    <row r="29" spans="1:10" x14ac:dyDescent="0.25">
      <c r="A29" s="1">
        <v>45629</v>
      </c>
      <c r="B29">
        <v>242.38399999999999</v>
      </c>
      <c r="C29" t="str">
        <f t="shared" si="0"/>
        <v>Dec 2024</v>
      </c>
      <c r="D29" s="21">
        <f t="shared" si="3"/>
        <v>105.35503164336879</v>
      </c>
      <c r="E29">
        <v>2643.665</v>
      </c>
      <c r="F29" s="21">
        <f t="shared" si="1"/>
        <v>96.625712494768791</v>
      </c>
      <c r="G29">
        <v>96151</v>
      </c>
      <c r="H29" s="21">
        <f t="shared" si="2"/>
        <v>140.76426220676248</v>
      </c>
      <c r="I29">
        <v>6.8722744088980155E-3</v>
      </c>
      <c r="J29" s="21">
        <f t="shared" si="4"/>
        <v>111.67238209764682</v>
      </c>
    </row>
    <row r="30" spans="1:10" x14ac:dyDescent="0.25">
      <c r="A30" s="1">
        <v>45630</v>
      </c>
      <c r="B30">
        <v>242.74299999999999</v>
      </c>
      <c r="C30" t="str">
        <f t="shared" si="0"/>
        <v>Dec 2024</v>
      </c>
      <c r="D30" s="21">
        <f t="shared" si="3"/>
        <v>105.51107517908061</v>
      </c>
      <c r="E30">
        <v>2650.0949999999998</v>
      </c>
      <c r="F30" s="21">
        <f t="shared" si="1"/>
        <v>96.860728403116241</v>
      </c>
      <c r="G30">
        <v>98312.9</v>
      </c>
      <c r="H30" s="21">
        <f t="shared" si="2"/>
        <v>143.92926577890213</v>
      </c>
      <c r="I30">
        <v>8.1625557213488957E-3</v>
      </c>
      <c r="J30" s="21">
        <f t="shared" si="4"/>
        <v>112.58391413905463</v>
      </c>
    </row>
    <row r="31" spans="1:10" x14ac:dyDescent="0.25">
      <c r="A31" s="1">
        <v>45631</v>
      </c>
      <c r="B31">
        <v>242.773</v>
      </c>
      <c r="C31" t="str">
        <f t="shared" si="0"/>
        <v>Dec 2024</v>
      </c>
      <c r="D31" s="21">
        <f t="shared" si="3"/>
        <v>105.52411502886154</v>
      </c>
      <c r="E31">
        <v>2631.9850000000001</v>
      </c>
      <c r="F31" s="21">
        <f t="shared" si="1"/>
        <v>96.198809569496916</v>
      </c>
      <c r="G31">
        <v>96737.9</v>
      </c>
      <c r="H31" s="21">
        <f t="shared" si="2"/>
        <v>141.62347891266413</v>
      </c>
      <c r="I31">
        <v>-7.5024940969750549E-3</v>
      </c>
      <c r="J31" s="21">
        <f t="shared" si="4"/>
        <v>111.73925398781203</v>
      </c>
    </row>
    <row r="32" spans="1:10" x14ac:dyDescent="0.25">
      <c r="A32" s="1">
        <v>45632</v>
      </c>
      <c r="B32">
        <v>242.57300000000001</v>
      </c>
      <c r="C32" t="str">
        <f t="shared" si="0"/>
        <v>Dec 2024</v>
      </c>
      <c r="D32" s="21">
        <f t="shared" si="3"/>
        <v>105.43718269698867</v>
      </c>
      <c r="E32">
        <v>2631.9850000000001</v>
      </c>
      <c r="F32" s="21">
        <f t="shared" si="1"/>
        <v>96.198809569496916</v>
      </c>
      <c r="G32">
        <v>101517</v>
      </c>
      <c r="H32" s="21">
        <f t="shared" si="2"/>
        <v>148.62004146024387</v>
      </c>
      <c r="I32">
        <v>1.4573623830318416E-2</v>
      </c>
      <c r="J32" s="21">
        <f t="shared" si="4"/>
        <v>113.36769984251082</v>
      </c>
    </row>
    <row r="33" spans="1:10" x14ac:dyDescent="0.25">
      <c r="A33" s="1">
        <v>45635</v>
      </c>
      <c r="B33">
        <v>246.47900000000001</v>
      </c>
      <c r="C33" t="str">
        <f t="shared" si="0"/>
        <v>Dec 2024</v>
      </c>
      <c r="D33" s="21">
        <f t="shared" si="3"/>
        <v>107.13497113846581</v>
      </c>
      <c r="E33">
        <v>2660.395</v>
      </c>
      <c r="F33" s="21">
        <f t="shared" si="1"/>
        <v>97.237192455367989</v>
      </c>
      <c r="G33">
        <v>96993.2</v>
      </c>
      <c r="H33" s="21">
        <f t="shared" si="2"/>
        <v>141.99723598374385</v>
      </c>
      <c r="I33">
        <v>-4.2202338217021138E-3</v>
      </c>
      <c r="J33" s="21">
        <f t="shared" si="4"/>
        <v>112.88926164134688</v>
      </c>
    </row>
    <row r="34" spans="1:10" x14ac:dyDescent="0.25">
      <c r="A34" s="1">
        <v>45636</v>
      </c>
      <c r="B34">
        <v>247.49799999999999</v>
      </c>
      <c r="C34" t="str">
        <f t="shared" si="0"/>
        <v>Dec 2024</v>
      </c>
      <c r="D34" s="21">
        <f t="shared" si="3"/>
        <v>107.5778913693581</v>
      </c>
      <c r="E34">
        <v>2693.9450000000002</v>
      </c>
      <c r="F34" s="21">
        <f t="shared" si="1"/>
        <v>98.463441868285102</v>
      </c>
      <c r="G34">
        <v>96898.2</v>
      </c>
      <c r="H34" s="21">
        <f t="shared" si="2"/>
        <v>141.85815677593899</v>
      </c>
      <c r="I34">
        <v>5.9907966147496276E-3</v>
      </c>
      <c r="J34" s="21">
        <f t="shared" si="4"/>
        <v>113.56555824782944</v>
      </c>
    </row>
    <row r="35" spans="1:10" x14ac:dyDescent="0.25">
      <c r="A35" s="1">
        <v>45637</v>
      </c>
      <c r="B35">
        <v>246.21899999999999</v>
      </c>
      <c r="C35" t="str">
        <f t="shared" si="0"/>
        <v>Dec 2024</v>
      </c>
      <c r="D35" s="21">
        <f t="shared" si="3"/>
        <v>107.02195910703109</v>
      </c>
      <c r="E35">
        <v>2718.13</v>
      </c>
      <c r="F35" s="21">
        <f t="shared" si="1"/>
        <v>99.347401392916993</v>
      </c>
      <c r="G35">
        <v>101252</v>
      </c>
      <c r="H35" s="21">
        <f t="shared" si="2"/>
        <v>148.23208367005142</v>
      </c>
      <c r="I35">
        <v>1.5520207950343335E-2</v>
      </c>
      <c r="J35" s="21">
        <f t="shared" si="4"/>
        <v>115.3281193278326</v>
      </c>
    </row>
    <row r="36" spans="1:10" x14ac:dyDescent="0.25">
      <c r="A36" s="1">
        <v>45638</v>
      </c>
      <c r="B36">
        <v>247.68799999999999</v>
      </c>
      <c r="C36" t="str">
        <f t="shared" si="0"/>
        <v>Dec 2024</v>
      </c>
      <c r="D36" s="21">
        <f t="shared" si="3"/>
        <v>107.66047708463731</v>
      </c>
      <c r="E36">
        <v>2680.8649999999998</v>
      </c>
      <c r="F36" s="21">
        <f t="shared" si="1"/>
        <v>97.985369071833347</v>
      </c>
      <c r="G36">
        <v>100467</v>
      </c>
      <c r="H36" s="21">
        <f t="shared" si="2"/>
        <v>147.08285021608518</v>
      </c>
      <c r="I36">
        <v>-6.0199272407658764E-3</v>
      </c>
      <c r="J36" s="21">
        <f t="shared" si="4"/>
        <v>114.63385244066468</v>
      </c>
    </row>
    <row r="37" spans="1:10" x14ac:dyDescent="0.25">
      <c r="A37" s="1">
        <v>45639</v>
      </c>
      <c r="B37">
        <v>247.857</v>
      </c>
      <c r="C37" t="str">
        <f t="shared" si="0"/>
        <v>Dec 2024</v>
      </c>
      <c r="D37" s="21">
        <f t="shared" si="3"/>
        <v>107.7339349050699</v>
      </c>
      <c r="E37">
        <v>2647.72</v>
      </c>
      <c r="F37" s="21">
        <f t="shared" si="1"/>
        <v>96.773922371650428</v>
      </c>
      <c r="G37">
        <v>101631</v>
      </c>
      <c r="H37" s="21">
        <f t="shared" si="2"/>
        <v>148.78693650960966</v>
      </c>
      <c r="I37">
        <v>-1.2649575725644626E-3</v>
      </c>
      <c r="J37" s="21">
        <f t="shared" si="4"/>
        <v>114.48884548094762</v>
      </c>
    </row>
    <row r="38" spans="1:10" x14ac:dyDescent="0.25">
      <c r="A38" s="1">
        <v>45642</v>
      </c>
      <c r="B38">
        <v>250.76400000000001</v>
      </c>
      <c r="C38" t="str">
        <f t="shared" si="0"/>
        <v>Dec 2024</v>
      </c>
      <c r="D38" s="21">
        <f t="shared" si="3"/>
        <v>108.99749634884206</v>
      </c>
      <c r="E38">
        <v>2652.7249999999999</v>
      </c>
      <c r="F38" s="21">
        <f t="shared" si="1"/>
        <v>96.956854661118385</v>
      </c>
      <c r="G38">
        <v>105844</v>
      </c>
      <c r="H38" s="21">
        <f t="shared" si="2"/>
        <v>154.95473337783869</v>
      </c>
      <c r="I38">
        <v>1.671084948478798E-2</v>
      </c>
      <c r="J38" s="21">
        <f t="shared" si="4"/>
        <v>116.40205134546689</v>
      </c>
    </row>
    <row r="39" spans="1:10" x14ac:dyDescent="0.25">
      <c r="A39" s="1">
        <v>45643</v>
      </c>
      <c r="B39">
        <v>253.202</v>
      </c>
      <c r="C39" t="str">
        <f t="shared" si="0"/>
        <v>Dec 2024</v>
      </c>
      <c r="D39" s="21">
        <f t="shared" si="3"/>
        <v>110.05720147437235</v>
      </c>
      <c r="E39">
        <v>2646.63</v>
      </c>
      <c r="F39" s="21">
        <f t="shared" si="1"/>
        <v>96.734082971946123</v>
      </c>
      <c r="G39">
        <v>105982</v>
      </c>
      <c r="H39" s="21">
        <f t="shared" si="2"/>
        <v>155.15676422707099</v>
      </c>
      <c r="I39">
        <v>2.3887733518642706E-3</v>
      </c>
      <c r="J39" s="21">
        <f t="shared" si="4"/>
        <v>116.68010946382326</v>
      </c>
    </row>
    <row r="40" spans="1:10" x14ac:dyDescent="0.25">
      <c r="A40" s="1">
        <v>45644</v>
      </c>
      <c r="B40">
        <v>247.77799999999999</v>
      </c>
      <c r="C40" t="str">
        <f t="shared" si="0"/>
        <v>Dec 2024</v>
      </c>
      <c r="D40" s="21">
        <f t="shared" si="3"/>
        <v>107.69959663398009</v>
      </c>
      <c r="E40">
        <v>2585.34</v>
      </c>
      <c r="F40" s="21">
        <f t="shared" si="1"/>
        <v>94.493939111508283</v>
      </c>
      <c r="G40">
        <v>101110</v>
      </c>
      <c r="H40" s="21">
        <f t="shared" si="2"/>
        <v>148.02419685417473</v>
      </c>
      <c r="I40">
        <v>-2.9480611261293928E-2</v>
      </c>
      <c r="J40" s="21">
        <f t="shared" si="4"/>
        <v>113.24030851479506</v>
      </c>
    </row>
    <row r="41" spans="1:10" x14ac:dyDescent="0.25">
      <c r="A41" s="1">
        <v>45645</v>
      </c>
      <c r="B41">
        <v>249.51599999999999</v>
      </c>
      <c r="C41" t="str">
        <f t="shared" si="0"/>
        <v>Dec 2024</v>
      </c>
      <c r="D41" s="21">
        <f t="shared" si="3"/>
        <v>108.45503859795535</v>
      </c>
      <c r="E41">
        <v>2594.2849999999999</v>
      </c>
      <c r="F41" s="21">
        <f t="shared" si="1"/>
        <v>94.820878038439531</v>
      </c>
      <c r="G41">
        <v>98219.199999999997</v>
      </c>
      <c r="H41" s="21">
        <f t="shared" si="2"/>
        <v>143.79208976025672</v>
      </c>
      <c r="I41">
        <v>-5.0889328747018795E-3</v>
      </c>
      <c r="J41" s="21">
        <f t="shared" si="4"/>
        <v>112.66403618605273</v>
      </c>
    </row>
    <row r="42" spans="1:10" x14ac:dyDescent="0.25">
      <c r="A42" s="1">
        <v>45646</v>
      </c>
      <c r="B42">
        <v>254.21100000000001</v>
      </c>
      <c r="C42" t="str">
        <f t="shared" si="0"/>
        <v>Dec 2024</v>
      </c>
      <c r="D42" s="21">
        <f t="shared" si="3"/>
        <v>110.495775088671</v>
      </c>
      <c r="E42">
        <v>2623.09</v>
      </c>
      <c r="F42" s="21">
        <f t="shared" si="1"/>
        <v>95.873698137964936</v>
      </c>
      <c r="G42">
        <v>96413.4</v>
      </c>
      <c r="H42" s="21">
        <f t="shared" si="2"/>
        <v>141.14841361863603</v>
      </c>
      <c r="I42">
        <v>4.5706071638906389E-3</v>
      </c>
      <c r="J42" s="21">
        <f t="shared" si="4"/>
        <v>113.17897923695755</v>
      </c>
    </row>
    <row r="43" spans="1:10" x14ac:dyDescent="0.25">
      <c r="A43" s="1">
        <v>45649</v>
      </c>
      <c r="B43">
        <v>254.99</v>
      </c>
      <c r="C43" t="str">
        <f t="shared" si="0"/>
        <v>Dec 2024</v>
      </c>
      <c r="D43" s="21">
        <f t="shared" si="3"/>
        <v>110.83437652131582</v>
      </c>
      <c r="E43">
        <v>2612.9450000000002</v>
      </c>
      <c r="F43" s="21">
        <f t="shared" si="1"/>
        <v>95.502899321450968</v>
      </c>
      <c r="G43">
        <v>95049.8</v>
      </c>
      <c r="H43" s="21">
        <f t="shared" si="2"/>
        <v>139.15211458955531</v>
      </c>
      <c r="I43">
        <v>-4.8706940266108889E-3</v>
      </c>
      <c r="J43" s="21">
        <f t="shared" si="4"/>
        <v>112.62771905885018</v>
      </c>
    </row>
    <row r="44" spans="1:10" x14ac:dyDescent="0.25">
      <c r="A44" s="1">
        <v>45650</v>
      </c>
      <c r="B44">
        <v>257.916</v>
      </c>
      <c r="C44" t="str">
        <f t="shared" si="0"/>
        <v>Dec 2024</v>
      </c>
      <c r="D44" s="21">
        <f t="shared" si="3"/>
        <v>112.10619653661591</v>
      </c>
      <c r="E44">
        <v>2616.1799999999998</v>
      </c>
      <c r="F44" s="21">
        <f t="shared" si="1"/>
        <v>95.621138273784396</v>
      </c>
      <c r="G44">
        <v>98705.9</v>
      </c>
      <c r="H44" s="21">
        <f t="shared" si="2"/>
        <v>144.50461450171582</v>
      </c>
      <c r="I44">
        <v>1.5477244395468447E-2</v>
      </c>
      <c r="J44" s="21">
        <f t="shared" si="4"/>
        <v>114.37088579242817</v>
      </c>
    </row>
    <row r="45" spans="1:10" x14ac:dyDescent="0.25">
      <c r="A45" s="1">
        <v>45652</v>
      </c>
      <c r="B45">
        <v>258.73599999999999</v>
      </c>
      <c r="C45" t="str">
        <f t="shared" si="0"/>
        <v>Dec 2024</v>
      </c>
      <c r="D45" s="21">
        <f t="shared" si="3"/>
        <v>112.46261909729466</v>
      </c>
      <c r="E45">
        <v>2633.7950000000001</v>
      </c>
      <c r="F45" s="21">
        <f t="shared" si="1"/>
        <v>96.264964902950851</v>
      </c>
      <c r="G45">
        <v>95708.4</v>
      </c>
      <c r="H45" s="21">
        <f t="shared" si="2"/>
        <v>140.11629949755806</v>
      </c>
      <c r="I45">
        <v>-5.4633589830035516E-3</v>
      </c>
      <c r="J45" s="21">
        <f t="shared" si="4"/>
        <v>113.74603658614004</v>
      </c>
    </row>
    <row r="46" spans="1:10" x14ac:dyDescent="0.25">
      <c r="A46" s="1">
        <v>45653</v>
      </c>
      <c r="B46">
        <v>255.309</v>
      </c>
      <c r="C46" t="str">
        <f t="shared" si="0"/>
        <v>Dec 2024</v>
      </c>
      <c r="D46" s="21">
        <f t="shared" si="3"/>
        <v>110.97303359065305</v>
      </c>
      <c r="E46">
        <v>2615.5549999999998</v>
      </c>
      <c r="F46" s="21">
        <f t="shared" si="1"/>
        <v>95.598294581293388</v>
      </c>
      <c r="G46">
        <v>94500</v>
      </c>
      <c r="H46" s="21">
        <f t="shared" si="2"/>
        <v>138.34721197428061</v>
      </c>
      <c r="I46">
        <v>-1.0531450892989947E-2</v>
      </c>
      <c r="J46" s="21">
        <f t="shared" si="4"/>
        <v>112.54812578756086</v>
      </c>
    </row>
    <row r="47" spans="1:10" x14ac:dyDescent="0.25">
      <c r="A47" s="1">
        <v>45656</v>
      </c>
      <c r="B47">
        <v>251.923</v>
      </c>
      <c r="C47" t="str">
        <f t="shared" si="0"/>
        <v>Dec 2024</v>
      </c>
      <c r="D47" s="21">
        <f t="shared" si="3"/>
        <v>109.50126921204534</v>
      </c>
      <c r="E47">
        <v>2605.9650000000001</v>
      </c>
      <c r="F47" s="21">
        <f t="shared" si="1"/>
        <v>95.247780963711421</v>
      </c>
      <c r="G47">
        <v>92611.4</v>
      </c>
      <c r="H47" s="21">
        <f t="shared" si="2"/>
        <v>135.58231732312055</v>
      </c>
      <c r="I47">
        <v>-1.1440874046207659E-2</v>
      </c>
      <c r="J47" s="21">
        <f t="shared" si="4"/>
        <v>111.26047685628865</v>
      </c>
    </row>
    <row r="48" spans="1:10" x14ac:dyDescent="0.25">
      <c r="A48" s="1">
        <v>45657</v>
      </c>
      <c r="B48">
        <v>250.14500000000001</v>
      </c>
      <c r="C48" t="str">
        <f t="shared" si="0"/>
        <v>Dec 2024</v>
      </c>
      <c r="D48" s="21">
        <f t="shared" si="3"/>
        <v>108.72844078169554</v>
      </c>
      <c r="E48">
        <v>2624.585</v>
      </c>
      <c r="F48" s="21">
        <f t="shared" si="1"/>
        <v>95.928340250403423</v>
      </c>
      <c r="G48">
        <v>93315.7</v>
      </c>
      <c r="H48" s="21">
        <f t="shared" si="2"/>
        <v>136.61340665003573</v>
      </c>
      <c r="I48">
        <v>3.0222133037264621E-3</v>
      </c>
      <c r="J48" s="21">
        <f t="shared" si="4"/>
        <v>111.59672974962268</v>
      </c>
    </row>
    <row r="49" spans="1:10" x14ac:dyDescent="0.25">
      <c r="A49" s="1">
        <v>45659</v>
      </c>
      <c r="B49">
        <v>243.58199999999999</v>
      </c>
      <c r="C49" t="str">
        <f t="shared" si="0"/>
        <v>Jan 2025</v>
      </c>
      <c r="D49" s="21">
        <f t="shared" si="3"/>
        <v>105.87575631128729</v>
      </c>
      <c r="E49">
        <v>2658.01</v>
      </c>
      <c r="F49" s="21">
        <f t="shared" si="1"/>
        <v>97.150020924822329</v>
      </c>
      <c r="G49">
        <v>96812.9</v>
      </c>
      <c r="H49" s="21">
        <f t="shared" si="2"/>
        <v>141.73327828724689</v>
      </c>
      <c r="I49">
        <v>8.4662280399702017E-3</v>
      </c>
      <c r="J49" s="21">
        <f t="shared" si="4"/>
        <v>112.5415331121979</v>
      </c>
    </row>
    <row r="50" spans="1:10" x14ac:dyDescent="0.25">
      <c r="A50" s="1">
        <v>45660</v>
      </c>
      <c r="B50">
        <v>243.09299999999999</v>
      </c>
      <c r="C50" t="str">
        <f t="shared" si="0"/>
        <v>Jan 2025</v>
      </c>
      <c r="D50" s="21">
        <f t="shared" si="3"/>
        <v>105.66320675985811</v>
      </c>
      <c r="E50">
        <v>2638.26</v>
      </c>
      <c r="F50" s="21">
        <f t="shared" si="1"/>
        <v>96.4281602421066</v>
      </c>
      <c r="G50">
        <v>98303.2</v>
      </c>
      <c r="H50" s="21">
        <f t="shared" si="2"/>
        <v>143.91506505978944</v>
      </c>
      <c r="I50">
        <v>1.0436733333989753E-3</v>
      </c>
      <c r="J50" s="21">
        <f t="shared" si="4"/>
        <v>112.65898970920694</v>
      </c>
    </row>
    <row r="51" spans="1:10" x14ac:dyDescent="0.25">
      <c r="A51" s="1">
        <v>45663</v>
      </c>
      <c r="B51">
        <v>244.73099999999999</v>
      </c>
      <c r="C51" t="str">
        <f t="shared" si="0"/>
        <v>Jan 2025</v>
      </c>
      <c r="D51" s="21">
        <f t="shared" si="3"/>
        <v>106.37518255789693</v>
      </c>
      <c r="E51">
        <v>2636.085</v>
      </c>
      <c r="F51" s="21">
        <f t="shared" si="1"/>
        <v>96.348664192237905</v>
      </c>
      <c r="G51">
        <v>102041</v>
      </c>
      <c r="H51" s="21">
        <f t="shared" si="2"/>
        <v>149.38717309066209</v>
      </c>
      <c r="I51">
        <v>1.3098638964784358E-2</v>
      </c>
      <c r="J51" s="21">
        <f t="shared" si="4"/>
        <v>114.13466914154517</v>
      </c>
    </row>
    <row r="52" spans="1:10" x14ac:dyDescent="0.25">
      <c r="A52" s="1">
        <v>45664</v>
      </c>
      <c r="B52">
        <v>241.94399999999999</v>
      </c>
      <c r="C52" t="str">
        <f t="shared" si="0"/>
        <v>Jan 2025</v>
      </c>
      <c r="D52" s="21">
        <f t="shared" si="3"/>
        <v>105.16378051324848</v>
      </c>
      <c r="E52">
        <v>2648.7350000000001</v>
      </c>
      <c r="F52" s="21">
        <f t="shared" si="1"/>
        <v>96.811020528255824</v>
      </c>
      <c r="G52">
        <v>97128.8</v>
      </c>
      <c r="H52" s="21">
        <f t="shared" si="2"/>
        <v>142.19575325298948</v>
      </c>
      <c r="I52">
        <v>-1.5938732920684793E-2</v>
      </c>
      <c r="J52" s="21">
        <f t="shared" si="4"/>
        <v>112.31550713310736</v>
      </c>
    </row>
    <row r="53" spans="1:10" x14ac:dyDescent="0.25">
      <c r="A53" s="1">
        <v>45665</v>
      </c>
      <c r="B53">
        <v>242.43299999999999</v>
      </c>
      <c r="C53" t="str">
        <f t="shared" si="0"/>
        <v>Jan 2025</v>
      </c>
      <c r="D53" s="21">
        <f t="shared" si="3"/>
        <v>105.37633006467766</v>
      </c>
      <c r="E53">
        <v>2662.1</v>
      </c>
      <c r="F53" s="21">
        <f t="shared" si="1"/>
        <v>97.299510048483441</v>
      </c>
      <c r="G53">
        <v>95261.6</v>
      </c>
      <c r="H53" s="21">
        <f t="shared" si="2"/>
        <v>139.46218802337705</v>
      </c>
      <c r="I53">
        <v>-3.1425268765639005E-3</v>
      </c>
      <c r="J53" s="21">
        <f t="shared" si="4"/>
        <v>111.96255263328666</v>
      </c>
    </row>
    <row r="54" spans="1:10" x14ac:dyDescent="0.25">
      <c r="A54" s="1">
        <v>45667</v>
      </c>
      <c r="B54">
        <v>236.59</v>
      </c>
      <c r="C54" t="str">
        <f t="shared" si="0"/>
        <v>Jan 2025</v>
      </c>
      <c r="D54" s="21">
        <f t="shared" si="3"/>
        <v>102.83660198901177</v>
      </c>
      <c r="E54">
        <v>2690.62</v>
      </c>
      <c r="F54" s="21">
        <f t="shared" si="1"/>
        <v>98.341913424232942</v>
      </c>
      <c r="G54">
        <v>94616.3</v>
      </c>
      <c r="H54" s="21">
        <f t="shared" si="2"/>
        <v>138.51747420446694</v>
      </c>
      <c r="I54">
        <v>-4.9773061121769924E-3</v>
      </c>
      <c r="J54" s="21">
        <f t="shared" si="4"/>
        <v>111.40528073573007</v>
      </c>
    </row>
    <row r="55" spans="1:10" x14ac:dyDescent="0.25">
      <c r="A55" s="1">
        <v>45670</v>
      </c>
      <c r="B55">
        <v>234.143</v>
      </c>
      <c r="C55" t="str">
        <f t="shared" si="0"/>
        <v>Jan 2025</v>
      </c>
      <c r="D55" s="21">
        <f t="shared" si="3"/>
        <v>101.77298490854719</v>
      </c>
      <c r="E55">
        <v>2663.0450000000001</v>
      </c>
      <c r="F55" s="21">
        <f t="shared" si="1"/>
        <v>97.334049711529843</v>
      </c>
      <c r="G55">
        <v>94360.9</v>
      </c>
      <c r="H55" s="21">
        <f t="shared" si="2"/>
        <v>138.1435707342211</v>
      </c>
      <c r="I55">
        <v>-8.0120600713306511E-3</v>
      </c>
      <c r="J55" s="21">
        <f t="shared" si="4"/>
        <v>110.51269493421194</v>
      </c>
    </row>
    <row r="56" spans="1:10" x14ac:dyDescent="0.25">
      <c r="A56" s="1">
        <v>45671</v>
      </c>
      <c r="B56">
        <v>233.024</v>
      </c>
      <c r="C56" t="str">
        <f t="shared" si="0"/>
        <v>Jan 2025</v>
      </c>
      <c r="D56" s="21">
        <f t="shared" si="3"/>
        <v>101.28659851171848</v>
      </c>
      <c r="E56">
        <v>2677.36</v>
      </c>
      <c r="F56" s="21">
        <f t="shared" si="1"/>
        <v>97.857261644343808</v>
      </c>
      <c r="G56">
        <v>96688.4</v>
      </c>
      <c r="H56" s="21">
        <f t="shared" si="2"/>
        <v>141.5510113254395</v>
      </c>
      <c r="I56">
        <v>8.1162120426306553E-3</v>
      </c>
      <c r="J56" s="21">
        <f t="shared" si="4"/>
        <v>111.40963939970055</v>
      </c>
    </row>
    <row r="57" spans="1:10" x14ac:dyDescent="0.25">
      <c r="A57" s="1">
        <v>45672</v>
      </c>
      <c r="B57">
        <v>237.60900000000001</v>
      </c>
      <c r="C57" t="str">
        <f t="shared" si="0"/>
        <v>Jan 2025</v>
      </c>
      <c r="D57" s="21">
        <f t="shared" si="3"/>
        <v>103.27952221990404</v>
      </c>
      <c r="E57">
        <v>2696.5250000000001</v>
      </c>
      <c r="F57" s="21">
        <f t="shared" si="1"/>
        <v>98.557740630887963</v>
      </c>
      <c r="G57">
        <v>99708.800000000003</v>
      </c>
      <c r="H57" s="21">
        <f t="shared" si="2"/>
        <v>145.97285173863654</v>
      </c>
      <c r="I57">
        <v>1.8137641944034243E-2</v>
      </c>
      <c r="J57" s="21">
        <f t="shared" si="4"/>
        <v>113.43034754824629</v>
      </c>
    </row>
    <row r="58" spans="1:10" x14ac:dyDescent="0.25">
      <c r="A58" s="1">
        <v>45673</v>
      </c>
      <c r="B58">
        <v>228.00899999999999</v>
      </c>
      <c r="C58" t="str">
        <f t="shared" si="0"/>
        <v>Jan 2025</v>
      </c>
      <c r="D58" s="21">
        <f t="shared" si="3"/>
        <v>99.106770290006253</v>
      </c>
      <c r="E58">
        <v>2714.6849999999999</v>
      </c>
      <c r="F58" s="21">
        <f t="shared" si="1"/>
        <v>99.221486959906571</v>
      </c>
      <c r="G58">
        <v>99820.3</v>
      </c>
      <c r="H58" s="21">
        <f t="shared" si="2"/>
        <v>146.13608680884954</v>
      </c>
      <c r="I58">
        <v>-9.0914386540959409E-3</v>
      </c>
      <c r="J58" s="21">
        <f t="shared" si="4"/>
        <v>112.39910250199863</v>
      </c>
    </row>
    <row r="59" spans="1:10" x14ac:dyDescent="0.25">
      <c r="A59" s="1">
        <v>45674</v>
      </c>
      <c r="B59">
        <v>229.727</v>
      </c>
      <c r="C59" t="str">
        <f t="shared" si="0"/>
        <v>Jan 2025</v>
      </c>
      <c r="D59" s="21">
        <f t="shared" si="3"/>
        <v>99.853519020794224</v>
      </c>
      <c r="E59">
        <v>2700.8649999999998</v>
      </c>
      <c r="F59" s="21">
        <f t="shared" si="1"/>
        <v>98.716367231545476</v>
      </c>
      <c r="G59">
        <v>104748</v>
      </c>
      <c r="H59" s="21">
        <f t="shared" si="2"/>
        <v>153.35019851726926</v>
      </c>
      <c r="I59">
        <v>1.5033818118579245E-2</v>
      </c>
      <c r="J59" s="21">
        <f t="shared" si="4"/>
        <v>114.08889016570521</v>
      </c>
    </row>
    <row r="60" spans="1:10" x14ac:dyDescent="0.25">
      <c r="A60" s="1">
        <v>45678</v>
      </c>
      <c r="B60">
        <v>222.39500000000001</v>
      </c>
      <c r="C60" t="str">
        <f t="shared" si="0"/>
        <v>Jan 2025</v>
      </c>
      <c r="D60" s="21">
        <f t="shared" si="3"/>
        <v>96.666579734334803</v>
      </c>
      <c r="E60">
        <v>2744.81</v>
      </c>
      <c r="F60" s="21">
        <f t="shared" si="1"/>
        <v>100.32255293797296</v>
      </c>
      <c r="G60">
        <v>106013</v>
      </c>
      <c r="H60" s="21">
        <f t="shared" si="2"/>
        <v>155.20214796856519</v>
      </c>
      <c r="I60">
        <v>5.5642299353465645E-4</v>
      </c>
      <c r="J60" s="21">
        <f t="shared" si="4"/>
        <v>114.15237184750026</v>
      </c>
    </row>
    <row r="61" spans="1:10" x14ac:dyDescent="0.25">
      <c r="A61" s="1">
        <v>45679</v>
      </c>
      <c r="B61">
        <v>223.584</v>
      </c>
      <c r="C61" t="str">
        <f t="shared" si="0"/>
        <v>Jan 2025</v>
      </c>
      <c r="D61" s="21">
        <f t="shared" si="3"/>
        <v>97.183392447319008</v>
      </c>
      <c r="E61">
        <v>2756.3049999999998</v>
      </c>
      <c r="F61" s="21">
        <f t="shared" si="1"/>
        <v>100.74269413026751</v>
      </c>
      <c r="G61">
        <v>103803</v>
      </c>
      <c r="H61" s="21">
        <f t="shared" si="2"/>
        <v>151.96672639752646</v>
      </c>
      <c r="I61">
        <v>-2.9748855352339943E-3</v>
      </c>
      <c r="J61" s="21">
        <f t="shared" si="4"/>
        <v>113.81278160767849</v>
      </c>
    </row>
    <row r="62" spans="1:10" x14ac:dyDescent="0.25">
      <c r="A62" s="1">
        <v>45680</v>
      </c>
      <c r="B62">
        <v>223.41399999999999</v>
      </c>
      <c r="C62" t="str">
        <f t="shared" si="0"/>
        <v>Jan 2025</v>
      </c>
      <c r="D62" s="21">
        <f t="shared" si="3"/>
        <v>97.109499965227059</v>
      </c>
      <c r="E62">
        <v>2754.8850000000002</v>
      </c>
      <c r="F62" s="21">
        <f t="shared" si="1"/>
        <v>100.69079326092798</v>
      </c>
      <c r="G62">
        <v>103996</v>
      </c>
      <c r="H62" s="21">
        <f t="shared" si="2"/>
        <v>152.24927678811943</v>
      </c>
      <c r="I62">
        <v>1.2361217201385389E-4</v>
      </c>
      <c r="J62" s="21">
        <f t="shared" si="4"/>
        <v>113.82685025281594</v>
      </c>
    </row>
    <row r="63" spans="1:10" x14ac:dyDescent="0.25">
      <c r="A63" s="1">
        <v>45681</v>
      </c>
      <c r="B63">
        <v>222.535</v>
      </c>
      <c r="C63" t="str">
        <f t="shared" si="0"/>
        <v>Jan 2025</v>
      </c>
      <c r="D63" s="21">
        <f t="shared" si="3"/>
        <v>96.7274323666458</v>
      </c>
      <c r="E63">
        <v>2771.105</v>
      </c>
      <c r="F63" s="21">
        <f t="shared" si="1"/>
        <v>101.28363276845451</v>
      </c>
      <c r="G63">
        <v>105020</v>
      </c>
      <c r="H63" s="21">
        <f t="shared" si="2"/>
        <v>153.74840424908942</v>
      </c>
      <c r="I63">
        <v>4.1287290559436918E-3</v>
      </c>
      <c r="J63" s="21">
        <f t="shared" si="4"/>
        <v>114.2968104768013</v>
      </c>
    </row>
    <row r="64" spans="1:10" x14ac:dyDescent="0.25">
      <c r="A64" s="1">
        <v>45684</v>
      </c>
      <c r="B64">
        <v>229.608</v>
      </c>
      <c r="C64" t="str">
        <f t="shared" si="0"/>
        <v>Jan 2025</v>
      </c>
      <c r="D64" s="21">
        <f t="shared" si="3"/>
        <v>99.801794283329855</v>
      </c>
      <c r="E64">
        <v>2740.93</v>
      </c>
      <c r="F64" s="21">
        <f t="shared" si="1"/>
        <v>100.18073929498881</v>
      </c>
      <c r="G64">
        <v>101607</v>
      </c>
      <c r="H64" s="21">
        <f t="shared" si="2"/>
        <v>148.75180070974318</v>
      </c>
      <c r="I64">
        <v>-4.5701053787628228E-3</v>
      </c>
      <c r="J64" s="21">
        <f t="shared" si="4"/>
        <v>113.77446200846583</v>
      </c>
    </row>
    <row r="65" spans="1:10" x14ac:dyDescent="0.25">
      <c r="A65" s="1">
        <v>45685</v>
      </c>
      <c r="B65">
        <v>237.99799999999999</v>
      </c>
      <c r="C65" t="str">
        <f t="shared" si="0"/>
        <v>Jan 2025</v>
      </c>
      <c r="D65" s="21">
        <f t="shared" si="3"/>
        <v>103.44860560539675</v>
      </c>
      <c r="E65">
        <v>2763.89</v>
      </c>
      <c r="F65" s="21">
        <f t="shared" si="1"/>
        <v>101.01992518233835</v>
      </c>
      <c r="G65">
        <v>101199</v>
      </c>
      <c r="H65" s="21">
        <f t="shared" si="2"/>
        <v>148.15449211201295</v>
      </c>
      <c r="I65">
        <v>1.3108207725016141E-2</v>
      </c>
      <c r="J65" s="21">
        <f t="shared" si="4"/>
        <v>115.26584129027476</v>
      </c>
    </row>
    <row r="66" spans="1:10" x14ac:dyDescent="0.25">
      <c r="A66" s="1">
        <v>45686</v>
      </c>
      <c r="B66">
        <v>239.09700000000001</v>
      </c>
      <c r="C66" t="str">
        <f t="shared" si="0"/>
        <v>Jan 2025</v>
      </c>
      <c r="D66" s="21">
        <f t="shared" si="3"/>
        <v>103.92629876903818</v>
      </c>
      <c r="E66">
        <v>2759.62</v>
      </c>
      <c r="F66" s="21">
        <f t="shared" si="1"/>
        <v>100.86385707523979</v>
      </c>
      <c r="G66">
        <v>103488</v>
      </c>
      <c r="H66" s="21">
        <f t="shared" si="2"/>
        <v>151.50556902427886</v>
      </c>
      <c r="I66">
        <v>7.5529763323657576E-3</v>
      </c>
      <c r="J66" s="21">
        <f t="shared" si="4"/>
        <v>116.13644146147045</v>
      </c>
    </row>
    <row r="67" spans="1:10" x14ac:dyDescent="0.25">
      <c r="A67" s="1">
        <v>45687</v>
      </c>
      <c r="B67">
        <v>237.32900000000001</v>
      </c>
      <c r="C67" t="str">
        <f t="shared" ref="C67:C130" si="5">TEXT(A67, "mmm yyyy")</f>
        <v>Jan 2025</v>
      </c>
      <c r="D67" s="21">
        <f t="shared" si="3"/>
        <v>103.15781695528202</v>
      </c>
      <c r="E67">
        <v>2794.1950000000002</v>
      </c>
      <c r="F67" s="21">
        <f t="shared" ref="F67:F130" si="6">E67/$E$2*100</f>
        <v>102.12757014384218</v>
      </c>
      <c r="G67">
        <v>105119</v>
      </c>
      <c r="H67" s="21">
        <f t="shared" ref="H67:H130" si="7">G67/$G$2*100</f>
        <v>153.89333942353866</v>
      </c>
      <c r="I67">
        <v>7.5212974493182212E-3</v>
      </c>
      <c r="J67" s="21">
        <f t="shared" si="4"/>
        <v>117.0099381824075</v>
      </c>
    </row>
    <row r="68" spans="1:10" x14ac:dyDescent="0.25">
      <c r="A68" s="1">
        <v>45688</v>
      </c>
      <c r="B68">
        <v>235.74100000000001</v>
      </c>
      <c r="C68" t="str">
        <f t="shared" si="5"/>
        <v>Jan 2025</v>
      </c>
      <c r="D68" s="21">
        <f t="shared" ref="D68:D131" si="8">B68/$B$2*100</f>
        <v>102.46757424021142</v>
      </c>
      <c r="E68">
        <v>2801.28</v>
      </c>
      <c r="F68" s="21">
        <f t="shared" si="6"/>
        <v>102.38652624192019</v>
      </c>
      <c r="G68">
        <v>101597</v>
      </c>
      <c r="H68" s="21">
        <f t="shared" si="7"/>
        <v>148.73716079313212</v>
      </c>
      <c r="I68">
        <v>-1.1044559898013562E-2</v>
      </c>
      <c r="J68" s="21">
        <f t="shared" ref="J68:J131" si="9">J67 * (1 + I68)</f>
        <v>115.71761491148904</v>
      </c>
    </row>
    <row r="69" spans="1:10" x14ac:dyDescent="0.25">
      <c r="A69" s="1">
        <v>45691</v>
      </c>
      <c r="B69">
        <v>227.76</v>
      </c>
      <c r="C69" t="str">
        <f t="shared" si="5"/>
        <v>Feb 2025</v>
      </c>
      <c r="D69" s="21">
        <f t="shared" si="8"/>
        <v>98.998539536824538</v>
      </c>
      <c r="E69">
        <v>2815</v>
      </c>
      <c r="F69" s="21">
        <f t="shared" si="6"/>
        <v>102.88799097948271</v>
      </c>
      <c r="G69">
        <v>101715</v>
      </c>
      <c r="H69" s="21">
        <f t="shared" si="7"/>
        <v>148.90991180914236</v>
      </c>
      <c r="I69">
        <v>-7.8489454005903122E-3</v>
      </c>
      <c r="J69" s="21">
        <f t="shared" si="9"/>
        <v>114.80935367016222</v>
      </c>
    </row>
    <row r="70" spans="1:10" x14ac:dyDescent="0.25">
      <c r="A70" s="1">
        <v>45692</v>
      </c>
      <c r="B70">
        <v>232.54400000000001</v>
      </c>
      <c r="C70" t="str">
        <f t="shared" si="5"/>
        <v>Feb 2025</v>
      </c>
      <c r="D70" s="21">
        <f t="shared" si="8"/>
        <v>101.07796091522361</v>
      </c>
      <c r="E70">
        <v>2842.58</v>
      </c>
      <c r="F70" s="21">
        <f t="shared" si="6"/>
        <v>103.89603744172572</v>
      </c>
      <c r="G70">
        <v>97688.6</v>
      </c>
      <c r="H70" s="21">
        <f t="shared" si="7"/>
        <v>143.01529578487524</v>
      </c>
      <c r="I70">
        <v>-1.6551593903095128E-3</v>
      </c>
      <c r="J70" s="21">
        <f t="shared" si="9"/>
        <v>114.6193258903397</v>
      </c>
    </row>
    <row r="71" spans="1:10" x14ac:dyDescent="0.25">
      <c r="A71" s="1">
        <v>45693</v>
      </c>
      <c r="B71">
        <v>232.215</v>
      </c>
      <c r="C71" t="str">
        <f t="shared" si="5"/>
        <v>Feb 2025</v>
      </c>
      <c r="D71" s="21">
        <f t="shared" si="8"/>
        <v>100.93495722929273</v>
      </c>
      <c r="E71">
        <v>2866.67</v>
      </c>
      <c r="F71" s="21">
        <f t="shared" si="6"/>
        <v>104.77652472509899</v>
      </c>
      <c r="G71">
        <v>96502.7</v>
      </c>
      <c r="H71" s="21">
        <f t="shared" si="7"/>
        <v>141.27914807397258</v>
      </c>
      <c r="I71">
        <v>-6.7643597326592052E-4</v>
      </c>
      <c r="J71" s="21">
        <f t="shared" si="9"/>
        <v>114.54179325507597</v>
      </c>
    </row>
    <row r="72" spans="1:10" x14ac:dyDescent="0.25">
      <c r="A72" s="1">
        <v>45694</v>
      </c>
      <c r="B72">
        <v>232.964</v>
      </c>
      <c r="C72" t="str">
        <f t="shared" si="5"/>
        <v>Feb 2025</v>
      </c>
      <c r="D72" s="21">
        <f t="shared" si="8"/>
        <v>101.26051881215663</v>
      </c>
      <c r="E72">
        <v>2856.0349999999999</v>
      </c>
      <c r="F72" s="21">
        <f t="shared" si="6"/>
        <v>104.38781645367207</v>
      </c>
      <c r="G72">
        <v>96945.2</v>
      </c>
      <c r="H72" s="21">
        <f t="shared" si="7"/>
        <v>141.92696438401086</v>
      </c>
      <c r="I72">
        <v>8.5929516649929617E-4</v>
      </c>
      <c r="J72" s="21">
        <f t="shared" si="9"/>
        <v>114.64021846438222</v>
      </c>
    </row>
    <row r="73" spans="1:10" x14ac:dyDescent="0.25">
      <c r="A73" s="1">
        <v>45695</v>
      </c>
      <c r="B73">
        <v>227.38</v>
      </c>
      <c r="C73" t="str">
        <f t="shared" si="5"/>
        <v>Feb 2025</v>
      </c>
      <c r="D73" s="21">
        <f t="shared" si="8"/>
        <v>98.833368106266079</v>
      </c>
      <c r="E73">
        <v>2860.6550000000002</v>
      </c>
      <c r="F73" s="21">
        <f t="shared" si="6"/>
        <v>104.55667702856559</v>
      </c>
      <c r="G73">
        <v>95919.5</v>
      </c>
      <c r="H73" s="21">
        <f t="shared" si="7"/>
        <v>140.42534813721704</v>
      </c>
      <c r="I73">
        <v>-9.7178209255776027E-3</v>
      </c>
      <c r="J73" s="21">
        <f t="shared" si="9"/>
        <v>113.52616535047625</v>
      </c>
    </row>
    <row r="74" spans="1:10" x14ac:dyDescent="0.25">
      <c r="A74" s="1">
        <v>45698</v>
      </c>
      <c r="B74">
        <v>227.65</v>
      </c>
      <c r="C74" t="str">
        <f t="shared" si="5"/>
        <v>Feb 2025</v>
      </c>
      <c r="D74" s="21">
        <f t="shared" si="8"/>
        <v>98.950726754294465</v>
      </c>
      <c r="E74">
        <v>2908.0450000000001</v>
      </c>
      <c r="F74" s="21">
        <f t="shared" si="6"/>
        <v>106.28877716800346</v>
      </c>
      <c r="G74">
        <v>97427.9</v>
      </c>
      <c r="H74" s="21">
        <f t="shared" si="7"/>
        <v>142.63363315882555</v>
      </c>
      <c r="I74">
        <v>1.1700392282499817E-2</v>
      </c>
      <c r="J74" s="21">
        <f t="shared" si="9"/>
        <v>114.85446601940477</v>
      </c>
    </row>
    <row r="75" spans="1:10" x14ac:dyDescent="0.25">
      <c r="A75" s="1">
        <v>45699</v>
      </c>
      <c r="B75">
        <v>232.62</v>
      </c>
      <c r="C75" t="str">
        <f t="shared" si="5"/>
        <v>Feb 2025</v>
      </c>
      <c r="D75" s="21">
        <f t="shared" si="8"/>
        <v>101.11099520133529</v>
      </c>
      <c r="E75">
        <v>2897.58</v>
      </c>
      <c r="F75" s="21">
        <f t="shared" si="6"/>
        <v>105.90628238093409</v>
      </c>
      <c r="G75">
        <v>95537.4</v>
      </c>
      <c r="H75" s="21">
        <f t="shared" si="7"/>
        <v>139.86595692350937</v>
      </c>
      <c r="I75">
        <v>-7.1115504543743917E-4</v>
      </c>
      <c r="J75" s="21">
        <f t="shared" si="9"/>
        <v>114.77278668640405</v>
      </c>
    </row>
    <row r="76" spans="1:10" x14ac:dyDescent="0.25">
      <c r="A76" s="1">
        <v>45700</v>
      </c>
      <c r="B76">
        <v>236.87</v>
      </c>
      <c r="C76" t="str">
        <f t="shared" si="5"/>
        <v>Feb 2025</v>
      </c>
      <c r="D76" s="21">
        <f t="shared" si="8"/>
        <v>102.95830725363378</v>
      </c>
      <c r="E76">
        <v>2903.91</v>
      </c>
      <c r="F76" s="21">
        <f t="shared" si="6"/>
        <v>106.13764329848298</v>
      </c>
      <c r="G76">
        <v>97817.600000000006</v>
      </c>
      <c r="H76" s="21">
        <f t="shared" si="7"/>
        <v>143.20415070915757</v>
      </c>
      <c r="I76">
        <v>1.3515002555525001E-2</v>
      </c>
      <c r="J76" s="21">
        <f t="shared" si="9"/>
        <v>116.32394119177553</v>
      </c>
    </row>
    <row r="77" spans="1:10" x14ac:dyDescent="0.25">
      <c r="A77" s="1">
        <v>45701</v>
      </c>
      <c r="B77">
        <v>241.53</v>
      </c>
      <c r="C77" t="str">
        <f t="shared" si="5"/>
        <v>Feb 2025</v>
      </c>
      <c r="D77" s="21">
        <f t="shared" si="8"/>
        <v>104.98383058627165</v>
      </c>
      <c r="E77">
        <v>2928.14</v>
      </c>
      <c r="F77" s="21">
        <f t="shared" si="6"/>
        <v>107.02324756897423</v>
      </c>
      <c r="G77">
        <v>96360.4</v>
      </c>
      <c r="H77" s="21">
        <f t="shared" si="7"/>
        <v>141.07082206059755</v>
      </c>
      <c r="I77">
        <v>4.7704061584641702E-3</v>
      </c>
      <c r="J77" s="21">
        <f t="shared" si="9"/>
        <v>116.8788536372136</v>
      </c>
    </row>
    <row r="78" spans="1:10" x14ac:dyDescent="0.25">
      <c r="A78" s="1">
        <v>45702</v>
      </c>
      <c r="B78">
        <v>244.6</v>
      </c>
      <c r="C78" t="str">
        <f t="shared" si="5"/>
        <v>Feb 2025</v>
      </c>
      <c r="D78" s="21">
        <f t="shared" si="8"/>
        <v>106.31824188052022</v>
      </c>
      <c r="E78">
        <v>2885.16</v>
      </c>
      <c r="F78" s="21">
        <f t="shared" si="6"/>
        <v>105.45233252375286</v>
      </c>
      <c r="G78">
        <v>97153.4</v>
      </c>
      <c r="H78" s="21">
        <f t="shared" si="7"/>
        <v>142.23176744785263</v>
      </c>
      <c r="I78">
        <v>4.107434414735594E-4</v>
      </c>
      <c r="J78" s="21">
        <f t="shared" si="9"/>
        <v>116.92686085979203</v>
      </c>
    </row>
    <row r="79" spans="1:10" x14ac:dyDescent="0.25">
      <c r="A79" s="1">
        <v>45706</v>
      </c>
      <c r="B79">
        <v>244.47</v>
      </c>
      <c r="C79" t="str">
        <f t="shared" si="5"/>
        <v>Feb 2025</v>
      </c>
      <c r="D79" s="21">
        <f t="shared" si="8"/>
        <v>106.26173586480283</v>
      </c>
      <c r="E79">
        <v>2935.29</v>
      </c>
      <c r="F79" s="21">
        <f t="shared" si="6"/>
        <v>107.28457941107132</v>
      </c>
      <c r="G79">
        <v>95267.1</v>
      </c>
      <c r="H79" s="21">
        <f t="shared" si="7"/>
        <v>139.4702399775131</v>
      </c>
      <c r="I79">
        <v>9.6589775741233767E-4</v>
      </c>
      <c r="J79" s="21">
        <f t="shared" si="9"/>
        <v>117.03980025247776</v>
      </c>
    </row>
    <row r="80" spans="1:10" x14ac:dyDescent="0.25">
      <c r="A80" s="1">
        <v>45707</v>
      </c>
      <c r="B80">
        <v>244.87</v>
      </c>
      <c r="C80" t="str">
        <f t="shared" si="5"/>
        <v>Feb 2025</v>
      </c>
      <c r="D80" s="21">
        <f t="shared" si="8"/>
        <v>106.43560052854859</v>
      </c>
      <c r="E80">
        <v>2932.94</v>
      </c>
      <c r="F80" s="21">
        <f t="shared" si="6"/>
        <v>107.19868712730516</v>
      </c>
      <c r="G80">
        <v>96527.8</v>
      </c>
      <c r="H80" s="21">
        <f t="shared" si="7"/>
        <v>141.3158942646663</v>
      </c>
      <c r="I80">
        <v>4.1406127814995084E-3</v>
      </c>
      <c r="J80" s="21">
        <f t="shared" si="9"/>
        <v>117.52441674534732</v>
      </c>
    </row>
    <row r="81" spans="1:10" x14ac:dyDescent="0.25">
      <c r="A81" s="1">
        <v>45708</v>
      </c>
      <c r="B81">
        <v>245.83</v>
      </c>
      <c r="C81" t="str">
        <f t="shared" si="5"/>
        <v>Feb 2025</v>
      </c>
      <c r="D81" s="21">
        <f t="shared" si="8"/>
        <v>106.85287572153837</v>
      </c>
      <c r="E81">
        <v>2939.6750000000002</v>
      </c>
      <c r="F81" s="21">
        <f t="shared" si="6"/>
        <v>107.44485075758823</v>
      </c>
      <c r="G81">
        <v>98149.8</v>
      </c>
      <c r="H81" s="21">
        <f t="shared" si="7"/>
        <v>143.69048873897617</v>
      </c>
      <c r="I81">
        <v>7.13570134376138E-3</v>
      </c>
      <c r="J81" s="21">
        <f t="shared" si="9"/>
        <v>118.36303588384187</v>
      </c>
    </row>
    <row r="82" spans="1:10" x14ac:dyDescent="0.25">
      <c r="A82" s="1">
        <v>45709</v>
      </c>
      <c r="B82">
        <v>245.55</v>
      </c>
      <c r="C82" t="str">
        <f t="shared" si="5"/>
        <v>Feb 2025</v>
      </c>
      <c r="D82" s="21">
        <f t="shared" si="8"/>
        <v>106.73117045691633</v>
      </c>
      <c r="E82">
        <v>2934.92</v>
      </c>
      <c r="F82" s="21">
        <f t="shared" si="6"/>
        <v>107.27105594511666</v>
      </c>
      <c r="G82">
        <v>95143.8</v>
      </c>
      <c r="H82" s="21">
        <f t="shared" si="7"/>
        <v>139.28972980569904</v>
      </c>
      <c r="I82">
        <v>-1.0176706154910753E-2</v>
      </c>
      <c r="J82" s="21">
        <f t="shared" si="9"/>
        <v>117.15849004804886</v>
      </c>
    </row>
    <row r="83" spans="1:10" x14ac:dyDescent="0.25">
      <c r="A83" s="1">
        <v>45712</v>
      </c>
      <c r="B83">
        <v>247.172</v>
      </c>
      <c r="C83" t="str">
        <f t="shared" si="5"/>
        <v>Feb 2025</v>
      </c>
      <c r="D83" s="21">
        <f t="shared" si="8"/>
        <v>107.43619166840533</v>
      </c>
      <c r="E83">
        <v>2952.76</v>
      </c>
      <c r="F83" s="21">
        <f t="shared" si="6"/>
        <v>107.92310630357989</v>
      </c>
      <c r="G83">
        <v>92437.6</v>
      </c>
      <c r="H83" s="21">
        <f t="shared" si="7"/>
        <v>135.32787557242077</v>
      </c>
      <c r="I83">
        <v>-4.1198926086713382E-3</v>
      </c>
      <c r="J83" s="21">
        <f t="shared" si="9"/>
        <v>116.67580965085682</v>
      </c>
    </row>
    <row r="84" spans="1:10" x14ac:dyDescent="0.25">
      <c r="A84" s="1">
        <v>45713</v>
      </c>
      <c r="B84">
        <v>247.04</v>
      </c>
      <c r="C84" t="str">
        <f t="shared" si="5"/>
        <v>Feb 2025</v>
      </c>
      <c r="D84" s="21">
        <f t="shared" si="8"/>
        <v>107.37881632936922</v>
      </c>
      <c r="E84">
        <v>2914.9949999999999</v>
      </c>
      <c r="F84" s="21">
        <f t="shared" si="6"/>
        <v>106.54279902850344</v>
      </c>
      <c r="G84">
        <v>88719.3</v>
      </c>
      <c r="H84" s="21">
        <f t="shared" si="7"/>
        <v>129.88431537893962</v>
      </c>
      <c r="I84">
        <v>-1.7343595910650288E-2</v>
      </c>
      <c r="J84" s="21">
        <f t="shared" si="9"/>
        <v>114.65223155572441</v>
      </c>
    </row>
    <row r="85" spans="1:10" x14ac:dyDescent="0.25">
      <c r="A85" s="1">
        <v>45714</v>
      </c>
      <c r="B85">
        <v>240.36</v>
      </c>
      <c r="C85" t="str">
        <f t="shared" si="5"/>
        <v>Feb 2025</v>
      </c>
      <c r="D85" s="21">
        <f t="shared" si="8"/>
        <v>104.47527644481536</v>
      </c>
      <c r="E85">
        <v>2916.38</v>
      </c>
      <c r="F85" s="21">
        <f t="shared" si="6"/>
        <v>106.59342065106352</v>
      </c>
      <c r="G85">
        <v>84219.7</v>
      </c>
      <c r="H85" s="21">
        <f t="shared" si="7"/>
        <v>123.2969385006383</v>
      </c>
      <c r="I85">
        <v>-2.313717350714296E-2</v>
      </c>
      <c r="J85" s="21">
        <f t="shared" si="9"/>
        <v>111.99950298123849</v>
      </c>
    </row>
    <row r="86" spans="1:10" x14ac:dyDescent="0.25">
      <c r="A86" s="1">
        <v>45715</v>
      </c>
      <c r="B86">
        <v>237.3</v>
      </c>
      <c r="C86" t="str">
        <f t="shared" si="5"/>
        <v>Feb 2025</v>
      </c>
      <c r="D86" s="21">
        <f t="shared" si="8"/>
        <v>103.14521176716045</v>
      </c>
      <c r="E86">
        <v>2877.07</v>
      </c>
      <c r="F86" s="21">
        <f t="shared" si="6"/>
        <v>105.15664376814931</v>
      </c>
      <c r="G86">
        <v>84604.5</v>
      </c>
      <c r="H86" s="21">
        <f t="shared" si="7"/>
        <v>123.86028249183094</v>
      </c>
      <c r="I86">
        <v>-7.840186047144572E-3</v>
      </c>
      <c r="J86" s="21">
        <f t="shared" si="9"/>
        <v>111.12140604067787</v>
      </c>
    </row>
    <row r="87" spans="1:10" x14ac:dyDescent="0.25">
      <c r="A87" s="1">
        <v>45716</v>
      </c>
      <c r="B87">
        <v>241.84</v>
      </c>
      <c r="C87" t="str">
        <f t="shared" si="5"/>
        <v>Feb 2025</v>
      </c>
      <c r="D87" s="21">
        <f t="shared" si="8"/>
        <v>105.1185757006746</v>
      </c>
      <c r="E87">
        <v>2854.9450000000002</v>
      </c>
      <c r="F87" s="21">
        <f t="shared" si="6"/>
        <v>104.34797705396777</v>
      </c>
      <c r="G87">
        <v>84128.3</v>
      </c>
      <c r="H87" s="21">
        <f t="shared" si="7"/>
        <v>123.16312966281346</v>
      </c>
      <c r="I87">
        <v>9.7496138288102364E-4</v>
      </c>
      <c r="J87" s="21">
        <f t="shared" si="9"/>
        <v>111.22974512037898</v>
      </c>
    </row>
    <row r="88" spans="1:10" x14ac:dyDescent="0.25">
      <c r="A88" s="1">
        <v>45719</v>
      </c>
      <c r="B88">
        <v>238.03</v>
      </c>
      <c r="C88" t="str">
        <f t="shared" si="5"/>
        <v>Mar 2025</v>
      </c>
      <c r="D88" s="21">
        <f t="shared" si="8"/>
        <v>103.46251477849641</v>
      </c>
      <c r="E88">
        <v>2892.82</v>
      </c>
      <c r="F88" s="21">
        <f t="shared" si="6"/>
        <v>105.73230481892261</v>
      </c>
      <c r="G88">
        <v>86574.8</v>
      </c>
      <c r="H88" s="21">
        <f t="shared" si="7"/>
        <v>126.74478526170316</v>
      </c>
      <c r="I88">
        <v>9.3044916503911869E-3</v>
      </c>
      <c r="J88" s="21">
        <f t="shared" si="9"/>
        <v>112.2646813551267</v>
      </c>
    </row>
    <row r="89" spans="1:10" x14ac:dyDescent="0.25">
      <c r="A89" s="1">
        <v>45720</v>
      </c>
      <c r="B89">
        <v>235.93</v>
      </c>
      <c r="C89" t="str">
        <f t="shared" si="5"/>
        <v>Mar 2025</v>
      </c>
      <c r="D89" s="21">
        <f t="shared" si="8"/>
        <v>102.54972529383129</v>
      </c>
      <c r="E89">
        <v>2917.99</v>
      </c>
      <c r="F89" s="21">
        <f t="shared" si="6"/>
        <v>106.65226600292033</v>
      </c>
      <c r="G89">
        <v>87456.9</v>
      </c>
      <c r="H89" s="21">
        <f t="shared" si="7"/>
        <v>128.03617230596254</v>
      </c>
      <c r="I89">
        <v>3.8902789193014601E-3</v>
      </c>
      <c r="J89" s="21">
        <f t="shared" si="9"/>
        <v>112.70142227838464</v>
      </c>
    </row>
    <row r="90" spans="1:10" x14ac:dyDescent="0.25">
      <c r="A90" s="1">
        <v>45721</v>
      </c>
      <c r="B90">
        <v>235.74</v>
      </c>
      <c r="C90" t="str">
        <f t="shared" si="5"/>
        <v>Mar 2025</v>
      </c>
      <c r="D90" s="21">
        <f t="shared" si="8"/>
        <v>102.46713957855206</v>
      </c>
      <c r="E90">
        <v>2919.17</v>
      </c>
      <c r="F90" s="21">
        <f t="shared" si="6"/>
        <v>106.69539489434334</v>
      </c>
      <c r="G90">
        <v>90446.9</v>
      </c>
      <c r="H90" s="21">
        <f t="shared" si="7"/>
        <v>132.413507372662</v>
      </c>
      <c r="I90">
        <v>1.0176638717651565E-2</v>
      </c>
      <c r="J90" s="21">
        <f t="shared" si="9"/>
        <v>113.84834393587725</v>
      </c>
    </row>
    <row r="91" spans="1:10" x14ac:dyDescent="0.25">
      <c r="A91" s="1">
        <v>45722</v>
      </c>
      <c r="B91">
        <v>235.33</v>
      </c>
      <c r="C91" t="str">
        <f t="shared" si="5"/>
        <v>Mar 2025</v>
      </c>
      <c r="D91" s="21">
        <f t="shared" si="8"/>
        <v>102.28892829821268</v>
      </c>
      <c r="E91">
        <v>2911.14</v>
      </c>
      <c r="F91" s="21">
        <f t="shared" si="6"/>
        <v>106.40189913321892</v>
      </c>
      <c r="G91">
        <v>90297.5</v>
      </c>
      <c r="H91" s="21">
        <f t="shared" si="7"/>
        <v>132.19478701849314</v>
      </c>
      <c r="I91">
        <v>-2.1176133942613527E-3</v>
      </c>
      <c r="J91" s="21">
        <f t="shared" si="9"/>
        <v>113.60725715784417</v>
      </c>
    </row>
    <row r="92" spans="1:10" x14ac:dyDescent="0.25">
      <c r="A92" s="1">
        <v>45723</v>
      </c>
      <c r="B92">
        <v>239.07</v>
      </c>
      <c r="C92" t="str">
        <f t="shared" si="5"/>
        <v>Mar 2025</v>
      </c>
      <c r="D92" s="21">
        <f t="shared" si="8"/>
        <v>103.91456290423535</v>
      </c>
      <c r="E92">
        <v>2909.36</v>
      </c>
      <c r="F92" s="21">
        <f t="shared" si="6"/>
        <v>106.33684029700454</v>
      </c>
      <c r="G92">
        <v>87704.6</v>
      </c>
      <c r="H92" s="21">
        <f t="shared" si="7"/>
        <v>128.3988030404179</v>
      </c>
      <c r="I92">
        <v>-4.0913290225677579E-3</v>
      </c>
      <c r="J92" s="21">
        <f t="shared" si="9"/>
        <v>113.14245248945997</v>
      </c>
    </row>
    <row r="93" spans="1:10" x14ac:dyDescent="0.25">
      <c r="A93" s="1">
        <v>45726</v>
      </c>
      <c r="B93">
        <v>227.48</v>
      </c>
      <c r="C93" t="str">
        <f t="shared" si="5"/>
        <v>Mar 2025</v>
      </c>
      <c r="D93" s="21">
        <f t="shared" si="8"/>
        <v>98.876834272202515</v>
      </c>
      <c r="E93">
        <v>2884.98</v>
      </c>
      <c r="F93" s="21">
        <f t="shared" si="6"/>
        <v>105.44575354031547</v>
      </c>
      <c r="G93">
        <v>79453.3</v>
      </c>
      <c r="H93" s="21">
        <f t="shared" si="7"/>
        <v>116.31896864715461</v>
      </c>
      <c r="I93">
        <v>-4.6119972635968232E-2</v>
      </c>
      <c r="J93" s="21">
        <f t="shared" si="9"/>
        <v>107.92432567667974</v>
      </c>
    </row>
    <row r="94" spans="1:10" x14ac:dyDescent="0.25">
      <c r="A94" s="1">
        <v>45727</v>
      </c>
      <c r="B94">
        <v>220.84</v>
      </c>
      <c r="C94" t="str">
        <f t="shared" si="5"/>
        <v>Mar 2025</v>
      </c>
      <c r="D94" s="21">
        <f t="shared" si="8"/>
        <v>95.990680854023239</v>
      </c>
      <c r="E94">
        <v>2917.51</v>
      </c>
      <c r="F94" s="21">
        <f t="shared" si="6"/>
        <v>106.63472204708727</v>
      </c>
      <c r="G94">
        <v>83111.7</v>
      </c>
      <c r="H94" s="21">
        <f t="shared" si="7"/>
        <v>121.67483574013562</v>
      </c>
      <c r="I94">
        <v>9.5668400882339289E-3</v>
      </c>
      <c r="J94" s="21">
        <f t="shared" si="9"/>
        <v>108.95682044205901</v>
      </c>
    </row>
    <row r="95" spans="1:10" x14ac:dyDescent="0.25">
      <c r="A95" s="1">
        <v>45728</v>
      </c>
      <c r="B95">
        <v>216.98</v>
      </c>
      <c r="C95" t="str">
        <f t="shared" si="5"/>
        <v>Mar 2025</v>
      </c>
      <c r="D95" s="21">
        <f t="shared" si="8"/>
        <v>94.312886848876829</v>
      </c>
      <c r="E95">
        <v>2938.16</v>
      </c>
      <c r="F95" s="21">
        <f t="shared" si="6"/>
        <v>107.38947764699</v>
      </c>
      <c r="G95">
        <v>83634.399999999994</v>
      </c>
      <c r="H95" s="21">
        <f t="shared" si="7"/>
        <v>122.44006418139442</v>
      </c>
      <c r="I95">
        <v>-5.2569593465975287E-4</v>
      </c>
      <c r="J95" s="21">
        <f t="shared" si="9"/>
        <v>108.89954228449916</v>
      </c>
    </row>
    <row r="96" spans="1:10" x14ac:dyDescent="0.25">
      <c r="A96" s="1">
        <v>45729</v>
      </c>
      <c r="B96">
        <v>209.68</v>
      </c>
      <c r="C96" t="str">
        <f t="shared" si="5"/>
        <v>Mar 2025</v>
      </c>
      <c r="D96" s="21">
        <f t="shared" si="8"/>
        <v>91.139856735517071</v>
      </c>
      <c r="E96">
        <v>2987.3249999999998</v>
      </c>
      <c r="F96" s="21">
        <f t="shared" si="6"/>
        <v>109.18645387310238</v>
      </c>
      <c r="G96">
        <v>81362.3</v>
      </c>
      <c r="H96" s="21">
        <f t="shared" si="7"/>
        <v>119.11372872820118</v>
      </c>
      <c r="I96">
        <v>-1.1549906748216241E-2</v>
      </c>
      <c r="J96" s="21">
        <f t="shared" si="9"/>
        <v>107.64176272618977</v>
      </c>
    </row>
    <row r="97" spans="1:10" x14ac:dyDescent="0.25">
      <c r="A97" s="1">
        <v>45730</v>
      </c>
      <c r="B97">
        <v>213.49</v>
      </c>
      <c r="C97" t="str">
        <f t="shared" si="5"/>
        <v>Mar 2025</v>
      </c>
      <c r="D97" s="21">
        <f t="shared" si="8"/>
        <v>92.795917657695256</v>
      </c>
      <c r="E97">
        <v>2985.0450000000001</v>
      </c>
      <c r="F97" s="21">
        <f t="shared" si="6"/>
        <v>109.1031200828952</v>
      </c>
      <c r="G97">
        <v>84147.4</v>
      </c>
      <c r="H97" s="21">
        <f t="shared" si="7"/>
        <v>123.19109190354052</v>
      </c>
      <c r="I97">
        <v>1.5415126295422587E-2</v>
      </c>
      <c r="J97" s="21">
        <f t="shared" si="9"/>
        <v>109.30107409327589</v>
      </c>
    </row>
    <row r="98" spans="1:10" x14ac:dyDescent="0.25">
      <c r="A98" s="1">
        <v>45733</v>
      </c>
      <c r="B98">
        <v>214</v>
      </c>
      <c r="C98" t="str">
        <f t="shared" si="5"/>
        <v>Mar 2025</v>
      </c>
      <c r="D98" s="21">
        <f t="shared" si="8"/>
        <v>93.017595103971075</v>
      </c>
      <c r="E98">
        <v>3000.2849999999999</v>
      </c>
      <c r="F98" s="21">
        <f t="shared" si="6"/>
        <v>109.66014068059582</v>
      </c>
      <c r="G98">
        <v>84055.5</v>
      </c>
      <c r="H98" s="21">
        <f t="shared" si="7"/>
        <v>123.05655106988512</v>
      </c>
      <c r="I98">
        <v>2.431202113916231E-3</v>
      </c>
      <c r="J98" s="21">
        <f t="shared" si="9"/>
        <v>109.56680709566479</v>
      </c>
    </row>
    <row r="99" spans="1:10" x14ac:dyDescent="0.25">
      <c r="A99" s="1">
        <v>45734</v>
      </c>
      <c r="B99">
        <v>212.69</v>
      </c>
      <c r="C99" t="str">
        <f t="shared" si="5"/>
        <v>Mar 2025</v>
      </c>
      <c r="D99" s="21">
        <f t="shared" si="8"/>
        <v>92.448188330203777</v>
      </c>
      <c r="E99">
        <v>3034.55</v>
      </c>
      <c r="F99" s="21">
        <f t="shared" si="6"/>
        <v>110.91252327772266</v>
      </c>
      <c r="G99">
        <v>82370.2</v>
      </c>
      <c r="H99" s="21">
        <f t="shared" si="7"/>
        <v>120.5892859234274</v>
      </c>
      <c r="I99">
        <v>-3.2831703186943827E-3</v>
      </c>
      <c r="J99" s="21">
        <f t="shared" si="9"/>
        <v>109.20708060669418</v>
      </c>
    </row>
    <row r="100" spans="1:10" x14ac:dyDescent="0.25">
      <c r="A100" s="1">
        <v>45735</v>
      </c>
      <c r="B100">
        <v>215.24</v>
      </c>
      <c r="C100" t="str">
        <f t="shared" si="5"/>
        <v>Mar 2025</v>
      </c>
      <c r="D100" s="21">
        <f t="shared" si="8"/>
        <v>93.556575561582861</v>
      </c>
      <c r="E100">
        <v>3050.21</v>
      </c>
      <c r="F100" s="21">
        <f t="shared" si="6"/>
        <v>111.48489483677724</v>
      </c>
      <c r="G100">
        <v>86148.9</v>
      </c>
      <c r="H100" s="21">
        <f t="shared" si="7"/>
        <v>126.12127121323917</v>
      </c>
      <c r="I100">
        <v>1.9423391121845365E-2</v>
      </c>
      <c r="J100" s="21">
        <f t="shared" si="9"/>
        <v>111.32825244659288</v>
      </c>
    </row>
    <row r="101" spans="1:10" x14ac:dyDescent="0.25">
      <c r="A101" s="1">
        <v>45736</v>
      </c>
      <c r="B101">
        <v>214.1</v>
      </c>
      <c r="C101" t="str">
        <f t="shared" si="5"/>
        <v>Mar 2025</v>
      </c>
      <c r="D101" s="21">
        <f t="shared" si="8"/>
        <v>93.061061269907512</v>
      </c>
      <c r="E101">
        <v>3045.81</v>
      </c>
      <c r="F101" s="21">
        <f t="shared" si="6"/>
        <v>111.32407524164056</v>
      </c>
      <c r="G101">
        <v>84092.9</v>
      </c>
      <c r="H101" s="21">
        <f t="shared" si="7"/>
        <v>123.11130435801039</v>
      </c>
      <c r="I101">
        <v>-9.3256302012219572E-3</v>
      </c>
      <c r="J101" s="21">
        <f t="shared" si="9"/>
        <v>110.29004633332768</v>
      </c>
    </row>
    <row r="102" spans="1:10" x14ac:dyDescent="0.25">
      <c r="A102" s="1">
        <v>45737</v>
      </c>
      <c r="B102">
        <v>218.27</v>
      </c>
      <c r="C102" t="str">
        <f t="shared" si="5"/>
        <v>Mar 2025</v>
      </c>
      <c r="D102" s="21">
        <f t="shared" si="8"/>
        <v>94.873600389456854</v>
      </c>
      <c r="E102">
        <v>3023.84</v>
      </c>
      <c r="F102" s="21">
        <f t="shared" si="6"/>
        <v>110.5210737631968</v>
      </c>
      <c r="G102">
        <v>84170.8</v>
      </c>
      <c r="H102" s="21">
        <f t="shared" si="7"/>
        <v>123.22534930841036</v>
      </c>
      <c r="I102">
        <v>3.2356957413547383E-3</v>
      </c>
      <c r="J102" s="21">
        <f t="shared" si="9"/>
        <v>110.64691136656226</v>
      </c>
    </row>
    <row r="103" spans="1:10" x14ac:dyDescent="0.25">
      <c r="A103" s="1">
        <v>45740</v>
      </c>
      <c r="B103">
        <v>220.73</v>
      </c>
      <c r="C103" t="str">
        <f t="shared" si="5"/>
        <v>Mar 2025</v>
      </c>
      <c r="D103" s="21">
        <f t="shared" si="8"/>
        <v>95.942868071493152</v>
      </c>
      <c r="E103">
        <v>3011.56</v>
      </c>
      <c r="F103" s="21">
        <f t="shared" si="6"/>
        <v>110.07224089313354</v>
      </c>
      <c r="G103">
        <v>87437</v>
      </c>
      <c r="H103" s="21">
        <f t="shared" si="7"/>
        <v>128.00703887190659</v>
      </c>
      <c r="I103">
        <v>1.3398038182927619E-2</v>
      </c>
      <c r="J103" s="21">
        <f t="shared" si="9"/>
        <v>112.12936290987446</v>
      </c>
    </row>
    <row r="104" spans="1:10" x14ac:dyDescent="0.25">
      <c r="A104" s="1">
        <v>45741</v>
      </c>
      <c r="B104">
        <v>223.75</v>
      </c>
      <c r="C104" t="str">
        <f t="shared" si="5"/>
        <v>Mar 2025</v>
      </c>
      <c r="D104" s="21">
        <f t="shared" si="8"/>
        <v>97.255546282773494</v>
      </c>
      <c r="E104">
        <v>3021.42</v>
      </c>
      <c r="F104" s="21">
        <f t="shared" si="6"/>
        <v>110.43262298587162</v>
      </c>
      <c r="G104">
        <v>87492.800000000003</v>
      </c>
      <c r="H104" s="21">
        <f t="shared" si="7"/>
        <v>128.08872960659619</v>
      </c>
      <c r="I104">
        <v>5.6056345292358808E-3</v>
      </c>
      <c r="J104" s="21">
        <f t="shared" si="9"/>
        <v>112.75791913834327</v>
      </c>
    </row>
    <row r="105" spans="1:10" x14ac:dyDescent="0.25">
      <c r="A105" s="1">
        <v>45742</v>
      </c>
      <c r="B105">
        <v>221.53</v>
      </c>
      <c r="C105" t="str">
        <f t="shared" si="5"/>
        <v>Mar 2025</v>
      </c>
      <c r="D105" s="21">
        <f t="shared" si="8"/>
        <v>96.29059739898463</v>
      </c>
      <c r="E105">
        <v>3019.32</v>
      </c>
      <c r="F105" s="21">
        <f t="shared" si="6"/>
        <v>110.35586817910186</v>
      </c>
      <c r="G105">
        <v>86834.1</v>
      </c>
      <c r="H105" s="21">
        <f t="shared" si="7"/>
        <v>127.1243982994273</v>
      </c>
      <c r="I105">
        <v>-5.5131371352911459E-3</v>
      </c>
      <c r="J105" s="21">
        <f t="shared" si="9"/>
        <v>112.13626926704352</v>
      </c>
    </row>
    <row r="106" spans="1:10" x14ac:dyDescent="0.25">
      <c r="A106" s="1">
        <v>45743</v>
      </c>
      <c r="B106">
        <v>223.85</v>
      </c>
      <c r="C106" t="str">
        <f t="shared" si="5"/>
        <v>Mar 2025</v>
      </c>
      <c r="D106" s="21">
        <f t="shared" si="8"/>
        <v>97.299012448709917</v>
      </c>
      <c r="E106">
        <v>3055.22</v>
      </c>
      <c r="F106" s="21">
        <f t="shared" si="6"/>
        <v>111.66800987578513</v>
      </c>
      <c r="G106">
        <v>87355.3</v>
      </c>
      <c r="H106" s="21">
        <f t="shared" si="7"/>
        <v>127.88743075319444</v>
      </c>
      <c r="I106">
        <v>9.6984995292167305E-3</v>
      </c>
      <c r="J106" s="21">
        <f t="shared" si="9"/>
        <v>113.22382282173805</v>
      </c>
    </row>
    <row r="107" spans="1:10" x14ac:dyDescent="0.25">
      <c r="A107" s="1">
        <v>45744</v>
      </c>
      <c r="B107">
        <v>217.9</v>
      </c>
      <c r="C107" t="str">
        <f t="shared" si="5"/>
        <v>Mar 2025</v>
      </c>
      <c r="D107" s="21">
        <f t="shared" si="8"/>
        <v>94.712775575492046</v>
      </c>
      <c r="E107">
        <v>3085.25</v>
      </c>
      <c r="F107" s="21">
        <f t="shared" si="6"/>
        <v>112.76560361259288</v>
      </c>
      <c r="G107">
        <v>83761.899999999994</v>
      </c>
      <c r="H107" s="21">
        <f t="shared" si="7"/>
        <v>122.62672311818513</v>
      </c>
      <c r="I107">
        <v>-1.6383094485853976E-2</v>
      </c>
      <c r="J107" s="21">
        <f t="shared" si="9"/>
        <v>111.36886623439993</v>
      </c>
    </row>
    <row r="108" spans="1:10" x14ac:dyDescent="0.25">
      <c r="A108" s="1">
        <v>45747</v>
      </c>
      <c r="B108">
        <v>222.13</v>
      </c>
      <c r="C108" t="str">
        <f t="shared" si="5"/>
        <v>Mar 2025</v>
      </c>
      <c r="D108" s="21">
        <f t="shared" si="8"/>
        <v>96.551394394603236</v>
      </c>
      <c r="E108">
        <v>3123.2750000000001</v>
      </c>
      <c r="F108" s="21">
        <f t="shared" si="6"/>
        <v>114.15541386374559</v>
      </c>
      <c r="G108">
        <v>82519.100000000006</v>
      </c>
      <c r="H108" s="21">
        <f t="shared" si="7"/>
        <v>120.80727428176571</v>
      </c>
      <c r="I108">
        <v>6.3024923797933008E-3</v>
      </c>
      <c r="J108" s="21">
        <f t="shared" si="9"/>
        <v>112.07076766518844</v>
      </c>
    </row>
    <row r="109" spans="1:10" x14ac:dyDescent="0.25">
      <c r="A109" s="1">
        <v>45748</v>
      </c>
      <c r="B109">
        <v>223.19</v>
      </c>
      <c r="C109" t="str">
        <f t="shared" si="5"/>
        <v>Apr 2025</v>
      </c>
      <c r="D109" s="21">
        <f t="shared" si="8"/>
        <v>97.012135753529449</v>
      </c>
      <c r="E109">
        <v>3114.36</v>
      </c>
      <c r="F109" s="21">
        <f t="shared" si="6"/>
        <v>113.82957143405392</v>
      </c>
      <c r="G109">
        <v>85176.6</v>
      </c>
      <c r="H109" s="21">
        <f t="shared" si="7"/>
        <v>124.69783212114827</v>
      </c>
      <c r="I109">
        <v>9.9512434686637834E-3</v>
      </c>
      <c r="J109" s="21">
        <f t="shared" si="9"/>
        <v>113.18601115994478</v>
      </c>
    </row>
    <row r="110" spans="1:10" x14ac:dyDescent="0.25">
      <c r="A110" s="1">
        <v>45749</v>
      </c>
      <c r="B110">
        <v>223.89</v>
      </c>
      <c r="C110" t="str">
        <f t="shared" si="5"/>
        <v>Apr 2025</v>
      </c>
      <c r="D110" s="21">
        <f t="shared" si="8"/>
        <v>97.316398915084491</v>
      </c>
      <c r="E110">
        <v>3135.5650000000001</v>
      </c>
      <c r="F110" s="21">
        <f t="shared" si="6"/>
        <v>114.6046122328887</v>
      </c>
      <c r="G110">
        <v>84792.4</v>
      </c>
      <c r="H110" s="21">
        <f t="shared" si="7"/>
        <v>124.13536652495227</v>
      </c>
      <c r="I110">
        <v>2.3112268355132137E-3</v>
      </c>
      <c r="J110" s="21">
        <f t="shared" si="9"/>
        <v>113.44760970634235</v>
      </c>
    </row>
    <row r="111" spans="1:10" x14ac:dyDescent="0.25">
      <c r="A111" s="1">
        <v>45750</v>
      </c>
      <c r="B111">
        <v>203.19</v>
      </c>
      <c r="C111" t="str">
        <f t="shared" si="5"/>
        <v>Apr 2025</v>
      </c>
      <c r="D111" s="21">
        <f t="shared" si="8"/>
        <v>88.318902566242443</v>
      </c>
      <c r="E111">
        <v>3114.7350000000001</v>
      </c>
      <c r="F111" s="21">
        <f t="shared" si="6"/>
        <v>113.84327764954851</v>
      </c>
      <c r="G111">
        <v>82688.3</v>
      </c>
      <c r="H111" s="21">
        <f t="shared" si="7"/>
        <v>121.05498167082442</v>
      </c>
      <c r="I111">
        <v>-3.7838508589000203E-2</v>
      </c>
      <c r="J111" s="21">
        <f t="shared" si="9"/>
        <v>109.15492135206738</v>
      </c>
    </row>
    <row r="112" spans="1:10" x14ac:dyDescent="0.25">
      <c r="A112" s="1">
        <v>45751</v>
      </c>
      <c r="B112">
        <v>188.38</v>
      </c>
      <c r="C112" t="str">
        <f t="shared" si="5"/>
        <v>Apr 2025</v>
      </c>
      <c r="D112" s="21">
        <f t="shared" si="8"/>
        <v>81.881563391056403</v>
      </c>
      <c r="E112">
        <v>3036.3850000000002</v>
      </c>
      <c r="F112" s="21">
        <f t="shared" si="6"/>
        <v>110.97959235887625</v>
      </c>
      <c r="G112">
        <v>84016.6</v>
      </c>
      <c r="H112" s="21">
        <f t="shared" si="7"/>
        <v>122.99960179426822</v>
      </c>
      <c r="I112">
        <v>-2.7108902343761253E-2</v>
      </c>
      <c r="J112" s="21">
        <f t="shared" si="9"/>
        <v>106.19585124879323</v>
      </c>
    </row>
    <row r="113" spans="1:10" x14ac:dyDescent="0.25">
      <c r="A113" s="1">
        <v>45754</v>
      </c>
      <c r="B113">
        <v>181.46</v>
      </c>
      <c r="C113" t="str">
        <f t="shared" si="5"/>
        <v>Apr 2025</v>
      </c>
      <c r="D113" s="21">
        <f t="shared" si="8"/>
        <v>78.873704708255104</v>
      </c>
      <c r="E113">
        <v>2983.2350000000001</v>
      </c>
      <c r="F113" s="21">
        <f t="shared" si="6"/>
        <v>109.03696474944124</v>
      </c>
      <c r="G113">
        <v>79192.800000000003</v>
      </c>
      <c r="H113" s="21">
        <f t="shared" si="7"/>
        <v>115.93759881943714</v>
      </c>
      <c r="I113">
        <v>-3.5246478567367026E-2</v>
      </c>
      <c r="J113" s="21">
        <f t="shared" si="9"/>
        <v>102.45282145380934</v>
      </c>
    </row>
    <row r="114" spans="1:10" x14ac:dyDescent="0.25">
      <c r="A114" s="1">
        <v>45755</v>
      </c>
      <c r="B114">
        <v>172.42</v>
      </c>
      <c r="C114" t="str">
        <f t="shared" si="5"/>
        <v>Apr 2025</v>
      </c>
      <c r="D114" s="21">
        <f t="shared" si="8"/>
        <v>74.944363307601364</v>
      </c>
      <c r="E114">
        <v>2982.835</v>
      </c>
      <c r="F114" s="21">
        <f t="shared" si="6"/>
        <v>109.02234478624699</v>
      </c>
      <c r="G114">
        <v>77016.600000000006</v>
      </c>
      <c r="H114" s="21">
        <f t="shared" si="7"/>
        <v>112.7516601665437</v>
      </c>
      <c r="I114">
        <v>-2.3243006840956239E-2</v>
      </c>
      <c r="J114" s="21">
        <f t="shared" si="9"/>
        <v>100.07150982388318</v>
      </c>
    </row>
    <row r="115" spans="1:10" x14ac:dyDescent="0.25">
      <c r="A115" s="1">
        <v>45756</v>
      </c>
      <c r="B115">
        <v>198.85</v>
      </c>
      <c r="C115" t="str">
        <f t="shared" si="5"/>
        <v>Apr 2025</v>
      </c>
      <c r="D115" s="21">
        <f t="shared" si="8"/>
        <v>86.432470964601151</v>
      </c>
      <c r="E115">
        <v>3082.94</v>
      </c>
      <c r="F115" s="21">
        <f t="shared" si="6"/>
        <v>112.68117332514616</v>
      </c>
      <c r="G115">
        <v>83277.8</v>
      </c>
      <c r="H115" s="21">
        <f t="shared" si="7"/>
        <v>121.91800475504493</v>
      </c>
      <c r="I115">
        <v>8.3799714102362532E-2</v>
      </c>
      <c r="J115" s="21">
        <f t="shared" si="9"/>
        <v>108.45747373691636</v>
      </c>
    </row>
    <row r="116" spans="1:10" x14ac:dyDescent="0.25">
      <c r="A116" s="1">
        <v>45757</v>
      </c>
      <c r="B116">
        <v>190.42</v>
      </c>
      <c r="C116" t="str">
        <f t="shared" si="5"/>
        <v>Apr 2025</v>
      </c>
      <c r="D116" s="21">
        <f t="shared" si="8"/>
        <v>82.768273176159681</v>
      </c>
      <c r="E116">
        <v>3175.605</v>
      </c>
      <c r="F116" s="21">
        <f t="shared" si="6"/>
        <v>116.06807054863239</v>
      </c>
      <c r="G116">
        <v>79672.3</v>
      </c>
      <c r="H116" s="21">
        <f t="shared" si="7"/>
        <v>116.63958282093627</v>
      </c>
      <c r="I116">
        <v>-1.368364560739096E-2</v>
      </c>
      <c r="J116" s="21">
        <f t="shared" si="9"/>
        <v>106.97338010282748</v>
      </c>
    </row>
    <row r="117" spans="1:10" x14ac:dyDescent="0.25">
      <c r="A117" s="1">
        <v>45758</v>
      </c>
      <c r="B117">
        <v>198.15</v>
      </c>
      <c r="C117" t="str">
        <f t="shared" si="5"/>
        <v>Apr 2025</v>
      </c>
      <c r="D117" s="21">
        <f t="shared" si="8"/>
        <v>86.128207803046124</v>
      </c>
      <c r="E117">
        <v>3230.98</v>
      </c>
      <c r="F117" s="21">
        <f t="shared" si="6"/>
        <v>118.09202170333535</v>
      </c>
      <c r="G117">
        <v>83869.3</v>
      </c>
      <c r="H117" s="21">
        <f t="shared" si="7"/>
        <v>122.78395582258766</v>
      </c>
      <c r="I117">
        <v>3.495687648556562E-2</v>
      </c>
      <c r="J117" s="21">
        <f t="shared" si="9"/>
        <v>110.71283533832549</v>
      </c>
    </row>
    <row r="118" spans="1:10" x14ac:dyDescent="0.25">
      <c r="A118" s="1">
        <v>45761</v>
      </c>
      <c r="B118">
        <v>202.52</v>
      </c>
      <c r="C118" t="str">
        <f t="shared" si="5"/>
        <v>Apr 2025</v>
      </c>
      <c r="D118" s="21">
        <f t="shared" si="8"/>
        <v>88.027679254468325</v>
      </c>
      <c r="E118">
        <v>3210.7049999999999</v>
      </c>
      <c r="F118" s="21">
        <f t="shared" si="6"/>
        <v>117.35097231892718</v>
      </c>
      <c r="G118">
        <v>84721.3</v>
      </c>
      <c r="H118" s="21">
        <f t="shared" si="7"/>
        <v>124.03127671784785</v>
      </c>
      <c r="I118">
        <v>7.1537245677042007E-3</v>
      </c>
      <c r="J118" s="21">
        <f t="shared" si="9"/>
        <v>111.50484446844547</v>
      </c>
    </row>
    <row r="119" spans="1:10" x14ac:dyDescent="0.25">
      <c r="A119" s="1">
        <v>45762</v>
      </c>
      <c r="B119">
        <v>202.14</v>
      </c>
      <c r="C119" t="str">
        <f t="shared" si="5"/>
        <v>Apr 2025</v>
      </c>
      <c r="D119" s="21">
        <f t="shared" si="8"/>
        <v>87.862507823909866</v>
      </c>
      <c r="E119">
        <v>3230.0650000000001</v>
      </c>
      <c r="F119" s="21">
        <f t="shared" si="6"/>
        <v>118.05857853752852</v>
      </c>
      <c r="G119">
        <v>84211.9</v>
      </c>
      <c r="H119" s="21">
        <f t="shared" si="7"/>
        <v>123.28551936568171</v>
      </c>
      <c r="I119">
        <v>4.5227284828264279E-5</v>
      </c>
      <c r="J119" s="21">
        <f t="shared" si="9"/>
        <v>111.50988752980598</v>
      </c>
    </row>
    <row r="120" spans="1:10" x14ac:dyDescent="0.25">
      <c r="A120" s="1">
        <v>45763</v>
      </c>
      <c r="B120">
        <v>194.27</v>
      </c>
      <c r="C120" t="str">
        <f t="shared" si="5"/>
        <v>Apr 2025</v>
      </c>
      <c r="D120" s="21">
        <f t="shared" si="8"/>
        <v>84.441720564712426</v>
      </c>
      <c r="E120">
        <v>3343.0549999999998</v>
      </c>
      <c r="F120" s="21">
        <f t="shared" si="6"/>
        <v>122.18835264082222</v>
      </c>
      <c r="G120">
        <v>84510.8</v>
      </c>
      <c r="H120" s="21">
        <f t="shared" si="7"/>
        <v>123.72310647318554</v>
      </c>
      <c r="I120">
        <v>3.3770782151949404E-3</v>
      </c>
      <c r="J120" s="21">
        <f t="shared" si="9"/>
        <v>111.88646514176173</v>
      </c>
    </row>
    <row r="121" spans="1:10" x14ac:dyDescent="0.25">
      <c r="A121" s="1">
        <v>45764</v>
      </c>
      <c r="B121">
        <v>196.98</v>
      </c>
      <c r="C121" t="str">
        <f t="shared" si="5"/>
        <v>Apr 2025</v>
      </c>
      <c r="D121" s="21">
        <f t="shared" si="8"/>
        <v>85.619653661589808</v>
      </c>
      <c r="E121">
        <v>3327.3649999999998</v>
      </c>
      <c r="F121" s="21">
        <f t="shared" si="6"/>
        <v>121.61488458452806</v>
      </c>
      <c r="G121">
        <v>85070.1</v>
      </c>
      <c r="H121" s="21">
        <f t="shared" si="7"/>
        <v>124.54191700924073</v>
      </c>
      <c r="I121">
        <v>4.292999240290073E-3</v>
      </c>
      <c r="J121" s="21">
        <f t="shared" si="9"/>
        <v>112.36679365161405</v>
      </c>
    </row>
    <row r="122" spans="1:10" x14ac:dyDescent="0.25">
      <c r="A122" s="1">
        <v>45768</v>
      </c>
      <c r="B122">
        <v>193.16</v>
      </c>
      <c r="C122" t="str">
        <f t="shared" si="5"/>
        <v>Apr 2025</v>
      </c>
      <c r="D122" s="21">
        <f t="shared" si="8"/>
        <v>83.959246122818001</v>
      </c>
      <c r="E122">
        <v>3424.4050000000002</v>
      </c>
      <c r="F122" s="21">
        <f t="shared" si="6"/>
        <v>125.16168765545133</v>
      </c>
      <c r="G122">
        <v>87284.4</v>
      </c>
      <c r="H122" s="21">
        <f t="shared" si="7"/>
        <v>127.78363374442219</v>
      </c>
      <c r="I122">
        <v>1.3656574445056458E-2</v>
      </c>
      <c r="J122" s="21">
        <f t="shared" si="9"/>
        <v>113.90133913426962</v>
      </c>
    </row>
    <row r="123" spans="1:10" x14ac:dyDescent="0.25">
      <c r="A123" s="1">
        <v>45769</v>
      </c>
      <c r="B123">
        <v>199.74</v>
      </c>
      <c r="C123" t="str">
        <f t="shared" si="5"/>
        <v>Apr 2025</v>
      </c>
      <c r="D123" s="21">
        <f t="shared" si="8"/>
        <v>86.819319841435444</v>
      </c>
      <c r="E123">
        <v>3381.16</v>
      </c>
      <c r="F123" s="21">
        <f t="shared" si="6"/>
        <v>123.58108688461375</v>
      </c>
      <c r="G123">
        <v>93010.2</v>
      </c>
      <c r="H123" s="21">
        <f t="shared" si="7"/>
        <v>136.16615719756862</v>
      </c>
      <c r="I123">
        <v>2.4847923980986765E-2</v>
      </c>
      <c r="J123" s="21">
        <f t="shared" si="9"/>
        <v>116.73155095041054</v>
      </c>
    </row>
    <row r="124" spans="1:10" x14ac:dyDescent="0.25">
      <c r="A124" s="1">
        <v>45770</v>
      </c>
      <c r="B124">
        <v>204.6</v>
      </c>
      <c r="C124" t="str">
        <f t="shared" si="5"/>
        <v>Apr 2025</v>
      </c>
      <c r="D124" s="21">
        <f t="shared" si="8"/>
        <v>88.931775505946177</v>
      </c>
      <c r="E124">
        <v>3288.33</v>
      </c>
      <c r="F124" s="21">
        <f t="shared" si="6"/>
        <v>120.1881589263099</v>
      </c>
      <c r="G124">
        <v>93513.8</v>
      </c>
      <c r="H124" s="21">
        <f t="shared" si="7"/>
        <v>136.90342339810033</v>
      </c>
      <c r="I124">
        <v>-2.0582025239424444E-3</v>
      </c>
      <c r="J124" s="21">
        <f t="shared" si="9"/>
        <v>116.4912937776207</v>
      </c>
    </row>
    <row r="125" spans="1:10" x14ac:dyDescent="0.25">
      <c r="A125" s="1">
        <v>45771</v>
      </c>
      <c r="B125">
        <v>208.37</v>
      </c>
      <c r="C125" t="str">
        <f t="shared" si="5"/>
        <v>Apr 2025</v>
      </c>
      <c r="D125" s="21">
        <f t="shared" si="8"/>
        <v>90.570449961749773</v>
      </c>
      <c r="E125">
        <v>3349.5949999999998</v>
      </c>
      <c r="F125" s="21">
        <f t="shared" si="6"/>
        <v>122.42738903904808</v>
      </c>
      <c r="G125">
        <v>93382</v>
      </c>
      <c r="H125" s="21">
        <f t="shared" si="7"/>
        <v>136.7104692971669</v>
      </c>
      <c r="I125">
        <v>1.2557448998968556E-2</v>
      </c>
      <c r="J125" s="21">
        <f t="shared" si="9"/>
        <v>117.95412725805704</v>
      </c>
    </row>
    <row r="126" spans="1:10" x14ac:dyDescent="0.25">
      <c r="A126" s="1">
        <v>45772</v>
      </c>
      <c r="B126">
        <v>209.28</v>
      </c>
      <c r="C126" t="str">
        <f t="shared" si="5"/>
        <v>Apr 2025</v>
      </c>
      <c r="D126" s="21">
        <f t="shared" si="8"/>
        <v>90.965992071771339</v>
      </c>
      <c r="E126">
        <v>3304.9850000000001</v>
      </c>
      <c r="F126" s="21">
        <f t="shared" si="6"/>
        <v>120.79689764381018</v>
      </c>
      <c r="G126">
        <v>95333.4</v>
      </c>
      <c r="H126" s="21">
        <f t="shared" si="7"/>
        <v>139.56730262464424</v>
      </c>
      <c r="I126">
        <v>2.2520464711448078E-3</v>
      </c>
      <c r="J126" s="21">
        <f t="shared" si="9"/>
        <v>118.21976543410553</v>
      </c>
    </row>
    <row r="127" spans="1:10" x14ac:dyDescent="0.25">
      <c r="A127" s="1">
        <v>45775</v>
      </c>
      <c r="B127">
        <v>210.14</v>
      </c>
      <c r="C127" t="str">
        <f t="shared" si="5"/>
        <v>Apr 2025</v>
      </c>
      <c r="D127" s="21">
        <f t="shared" si="8"/>
        <v>91.339801098824665</v>
      </c>
      <c r="E127">
        <v>3343.8850000000002</v>
      </c>
      <c r="F127" s="21">
        <f t="shared" si="6"/>
        <v>122.21868906445027</v>
      </c>
      <c r="G127">
        <v>94541.1</v>
      </c>
      <c r="H127" s="21">
        <f t="shared" si="7"/>
        <v>138.40738203155198</v>
      </c>
      <c r="I127">
        <v>3.447587682533183E-3</v>
      </c>
      <c r="J127" s="21">
        <f t="shared" si="9"/>
        <v>118.62733844124813</v>
      </c>
    </row>
    <row r="128" spans="1:10" x14ac:dyDescent="0.25">
      <c r="A128" s="1">
        <v>45776</v>
      </c>
      <c r="B128">
        <v>211.21</v>
      </c>
      <c r="C128" t="str">
        <f t="shared" si="5"/>
        <v>Apr 2025</v>
      </c>
      <c r="D128" s="21">
        <f t="shared" si="8"/>
        <v>91.80488907434453</v>
      </c>
      <c r="E128">
        <v>3317.2449999999999</v>
      </c>
      <c r="F128" s="21">
        <f t="shared" si="6"/>
        <v>121.2449995157137</v>
      </c>
      <c r="G128">
        <v>94726.5</v>
      </c>
      <c r="H128" s="21">
        <f t="shared" si="7"/>
        <v>138.67880608552053</v>
      </c>
      <c r="I128">
        <v>-1.0708438438422844E-3</v>
      </c>
      <c r="J128" s="21">
        <f t="shared" si="9"/>
        <v>118.50030708616693</v>
      </c>
    </row>
    <row r="129" spans="1:10" x14ac:dyDescent="0.25">
      <c r="A129" s="1">
        <v>45777</v>
      </c>
      <c r="B129">
        <v>212.5</v>
      </c>
      <c r="C129" t="str">
        <f t="shared" si="5"/>
        <v>Apr 2025</v>
      </c>
      <c r="D129" s="21">
        <f t="shared" si="8"/>
        <v>92.365602614924541</v>
      </c>
      <c r="E129">
        <v>3288.4</v>
      </c>
      <c r="F129" s="21">
        <f t="shared" si="6"/>
        <v>120.19071741986889</v>
      </c>
      <c r="G129">
        <v>94400.1</v>
      </c>
      <c r="H129" s="21">
        <f t="shared" si="7"/>
        <v>138.20095920733638</v>
      </c>
      <c r="I129">
        <v>-2.6796007117923515E-3</v>
      </c>
      <c r="J129" s="21">
        <f t="shared" si="9"/>
        <v>118.18277357895121</v>
      </c>
    </row>
    <row r="130" spans="1:10" x14ac:dyDescent="0.25">
      <c r="A130" s="1">
        <v>45778</v>
      </c>
      <c r="B130">
        <v>213.32</v>
      </c>
      <c r="C130" t="str">
        <f t="shared" si="5"/>
        <v>May 2025</v>
      </c>
      <c r="D130" s="21">
        <f t="shared" si="8"/>
        <v>92.722025175603306</v>
      </c>
      <c r="E130">
        <v>3238.95</v>
      </c>
      <c r="F130" s="21">
        <f t="shared" si="6"/>
        <v>118.38332446998064</v>
      </c>
      <c r="G130">
        <v>96455.2</v>
      </c>
      <c r="H130" s="21">
        <f t="shared" si="7"/>
        <v>141.20960847007015</v>
      </c>
      <c r="I130">
        <v>1.6735949527546972E-3</v>
      </c>
      <c r="J130" s="21">
        <f t="shared" si="9"/>
        <v>118.38056367231549</v>
      </c>
    </row>
    <row r="131" spans="1:10" x14ac:dyDescent="0.25">
      <c r="A131" s="1">
        <v>45779</v>
      </c>
      <c r="B131">
        <v>205.35</v>
      </c>
      <c r="C131" t="str">
        <f t="shared" ref="C131:C194" si="10">TEXT(A131, "mmm yyyy")</f>
        <v>May 2025</v>
      </c>
      <c r="D131" s="21">
        <f t="shared" si="8"/>
        <v>89.257771750469445</v>
      </c>
      <c r="E131">
        <v>3233.67</v>
      </c>
      <c r="F131" s="21">
        <f t="shared" ref="F131:F194" si="11">E131/$E$2*100</f>
        <v>118.19034095581664</v>
      </c>
      <c r="G131">
        <v>96935.8</v>
      </c>
      <c r="H131" s="21">
        <f t="shared" ref="H131:H194" si="12">G131/$G$2*100</f>
        <v>141.9132028623965</v>
      </c>
      <c r="I131">
        <v>-1.0365788983405833E-2</v>
      </c>
      <c r="J131" s="21">
        <f t="shared" si="9"/>
        <v>117.15345572955164</v>
      </c>
    </row>
    <row r="132" spans="1:10" x14ac:dyDescent="0.25">
      <c r="A132" s="1">
        <v>45782</v>
      </c>
      <c r="B132">
        <v>198.89</v>
      </c>
      <c r="C132" t="str">
        <f t="shared" si="10"/>
        <v>May 2025</v>
      </c>
      <c r="D132" s="21">
        <f t="shared" ref="D132:D195" si="13">B132/$B$2*100</f>
        <v>86.449857430975726</v>
      </c>
      <c r="E132">
        <v>3333.915</v>
      </c>
      <c r="F132" s="21">
        <f t="shared" si="11"/>
        <v>121.85428648183378</v>
      </c>
      <c r="G132">
        <v>94663.8</v>
      </c>
      <c r="H132" s="21">
        <f t="shared" si="12"/>
        <v>138.58701380836936</v>
      </c>
      <c r="I132">
        <v>-4.0688514386698722E-3</v>
      </c>
      <c r="J132" s="21">
        <f t="shared" ref="J132:J195" si="14">J131 * (1 + I132)</f>
        <v>116.6767757226613</v>
      </c>
    </row>
    <row r="133" spans="1:10" x14ac:dyDescent="0.25">
      <c r="A133" s="1">
        <v>45783</v>
      </c>
      <c r="B133">
        <v>198.51</v>
      </c>
      <c r="C133" t="str">
        <f t="shared" si="10"/>
        <v>May 2025</v>
      </c>
      <c r="D133" s="21">
        <f t="shared" si="13"/>
        <v>86.284686000417281</v>
      </c>
      <c r="E133">
        <v>3431.7649999999999</v>
      </c>
      <c r="F133" s="21">
        <f t="shared" si="11"/>
        <v>125.43069497822539</v>
      </c>
      <c r="G133">
        <v>94679.9</v>
      </c>
      <c r="H133" s="21">
        <f t="shared" si="12"/>
        <v>138.61058407411312</v>
      </c>
      <c r="I133">
        <v>1.1217792894885238E-2</v>
      </c>
      <c r="J133" s="21">
        <f t="shared" si="14"/>
        <v>117.98563162836111</v>
      </c>
    </row>
    <row r="134" spans="1:10" x14ac:dyDescent="0.25">
      <c r="A134" s="1">
        <v>45784</v>
      </c>
      <c r="B134">
        <v>196.25</v>
      </c>
      <c r="C134" t="str">
        <f t="shared" si="10"/>
        <v>May 2025</v>
      </c>
      <c r="D134" s="21">
        <f t="shared" si="13"/>
        <v>85.302350650253842</v>
      </c>
      <c r="E134">
        <v>3364.4850000000001</v>
      </c>
      <c r="F134" s="21">
        <f t="shared" si="11"/>
        <v>122.97161716895377</v>
      </c>
      <c r="G134">
        <v>97121.3</v>
      </c>
      <c r="H134" s="21">
        <f t="shared" si="12"/>
        <v>142.1847733155312</v>
      </c>
      <c r="I134">
        <v>-3.5217242607047949E-3</v>
      </c>
      <c r="J134" s="21">
        <f t="shared" si="14"/>
        <v>117.57011876704092</v>
      </c>
    </row>
    <row r="135" spans="1:10" x14ac:dyDescent="0.25">
      <c r="A135" s="1">
        <v>45785</v>
      </c>
      <c r="B135">
        <v>197.49</v>
      </c>
      <c r="C135" t="str">
        <f t="shared" si="10"/>
        <v>May 2025</v>
      </c>
      <c r="D135" s="21">
        <f t="shared" si="13"/>
        <v>85.841331107865642</v>
      </c>
      <c r="E135">
        <v>3305.51</v>
      </c>
      <c r="F135" s="21">
        <f t="shared" si="11"/>
        <v>120.81608634550263</v>
      </c>
      <c r="G135">
        <v>102778</v>
      </c>
      <c r="H135" s="21">
        <f t="shared" si="12"/>
        <v>150.46613494489534</v>
      </c>
      <c r="I135">
        <v>1.2357165208302167E-2</v>
      </c>
      <c r="J135" s="21">
        <f t="shared" si="14"/>
        <v>119.02295214820495</v>
      </c>
    </row>
    <row r="136" spans="1:10" x14ac:dyDescent="0.25">
      <c r="A136" s="1">
        <v>45786</v>
      </c>
      <c r="B136">
        <v>198.53</v>
      </c>
      <c r="C136" t="str">
        <f t="shared" si="10"/>
        <v>May 2025</v>
      </c>
      <c r="D136" s="21">
        <f t="shared" si="13"/>
        <v>86.293379233604554</v>
      </c>
      <c r="E136">
        <v>3328.9450000000002</v>
      </c>
      <c r="F136" s="21">
        <f t="shared" si="11"/>
        <v>121.67263343914532</v>
      </c>
      <c r="G136">
        <v>103184</v>
      </c>
      <c r="H136" s="21">
        <f t="shared" si="12"/>
        <v>151.06051555930338</v>
      </c>
      <c r="I136">
        <v>5.6007763607891061E-3</v>
      </c>
      <c r="J136" s="21">
        <f t="shared" si="14"/>
        <v>119.68957308498794</v>
      </c>
    </row>
    <row r="137" spans="1:10" x14ac:dyDescent="0.25">
      <c r="A137" s="1">
        <v>45789</v>
      </c>
      <c r="B137">
        <v>210.79</v>
      </c>
      <c r="C137" t="str">
        <f t="shared" si="10"/>
        <v>May 2025</v>
      </c>
      <c r="D137" s="21">
        <f t="shared" si="13"/>
        <v>91.622331177411496</v>
      </c>
      <c r="E137">
        <v>3235.915</v>
      </c>
      <c r="F137" s="21">
        <f t="shared" si="11"/>
        <v>118.27239549924433</v>
      </c>
      <c r="G137">
        <v>102482</v>
      </c>
      <c r="H137" s="21">
        <f t="shared" si="12"/>
        <v>150.03279341320871</v>
      </c>
      <c r="I137">
        <v>5.3068369658121565E-3</v>
      </c>
      <c r="J137" s="21">
        <f t="shared" si="14"/>
        <v>120.32474613585764</v>
      </c>
    </row>
    <row r="138" spans="1:10" x14ac:dyDescent="0.25">
      <c r="A138" s="1">
        <v>45790</v>
      </c>
      <c r="B138">
        <v>212.93</v>
      </c>
      <c r="C138" t="str">
        <f t="shared" si="10"/>
        <v>May 2025</v>
      </c>
      <c r="D138" s="21">
        <f t="shared" si="13"/>
        <v>92.552507128451225</v>
      </c>
      <c r="E138">
        <v>3250.2249999999999</v>
      </c>
      <c r="F138" s="21">
        <f t="shared" si="11"/>
        <v>118.79542468251836</v>
      </c>
      <c r="G138">
        <v>104342</v>
      </c>
      <c r="H138" s="21">
        <f t="shared" si="12"/>
        <v>152.75581790286122</v>
      </c>
      <c r="I138">
        <v>1.025944078474561E-2</v>
      </c>
      <c r="J138" s="21">
        <f t="shared" si="14"/>
        <v>121.55921074377801</v>
      </c>
    </row>
    <row r="139" spans="1:10" x14ac:dyDescent="0.25">
      <c r="A139" s="1">
        <v>45791</v>
      </c>
      <c r="B139">
        <v>212.33</v>
      </c>
      <c r="C139" t="str">
        <f t="shared" si="10"/>
        <v>May 2025</v>
      </c>
      <c r="D139" s="21">
        <f t="shared" si="13"/>
        <v>92.29171013283262</v>
      </c>
      <c r="E139">
        <v>3177.53</v>
      </c>
      <c r="F139" s="21">
        <f t="shared" si="11"/>
        <v>116.1384291215047</v>
      </c>
      <c r="G139">
        <v>103616</v>
      </c>
      <c r="H139" s="21">
        <f t="shared" si="12"/>
        <v>151.6929599569001</v>
      </c>
      <c r="I139">
        <v>-1.1879172334080292E-2</v>
      </c>
      <c r="J139" s="21">
        <f t="shared" si="14"/>
        <v>120.11518793055788</v>
      </c>
    </row>
    <row r="140" spans="1:10" x14ac:dyDescent="0.25">
      <c r="A140" s="1">
        <v>45792</v>
      </c>
      <c r="B140">
        <v>211.45</v>
      </c>
      <c r="C140" t="str">
        <f t="shared" si="10"/>
        <v>May 2025</v>
      </c>
      <c r="D140" s="21">
        <f t="shared" si="13"/>
        <v>91.909207872591963</v>
      </c>
      <c r="E140">
        <v>3239.83</v>
      </c>
      <c r="F140" s="21">
        <f t="shared" si="11"/>
        <v>118.41548838900798</v>
      </c>
      <c r="G140">
        <v>103288</v>
      </c>
      <c r="H140" s="21">
        <f t="shared" si="12"/>
        <v>151.21277069205814</v>
      </c>
      <c r="I140">
        <v>5.6495616396118557E-3</v>
      </c>
      <c r="J140" s="21">
        <f t="shared" si="14"/>
        <v>120.79378608862514</v>
      </c>
    </row>
    <row r="141" spans="1:10" x14ac:dyDescent="0.25">
      <c r="A141" s="1">
        <v>45793</v>
      </c>
      <c r="B141">
        <v>211.26</v>
      </c>
      <c r="C141" t="str">
        <f t="shared" si="10"/>
        <v>May 2025</v>
      </c>
      <c r="D141" s="21">
        <f t="shared" si="13"/>
        <v>91.826622157312741</v>
      </c>
      <c r="E141">
        <v>3192.46</v>
      </c>
      <c r="F141" s="21">
        <f t="shared" si="11"/>
        <v>116.6841192477298</v>
      </c>
      <c r="G141">
        <v>103924</v>
      </c>
      <c r="H141" s="21">
        <f t="shared" si="12"/>
        <v>152.14386938851999</v>
      </c>
      <c r="I141">
        <v>-4.2707602604853184E-3</v>
      </c>
      <c r="J141" s="21">
        <f t="shared" si="14"/>
        <v>120.27790478728427</v>
      </c>
    </row>
    <row r="142" spans="1:10" x14ac:dyDescent="0.25">
      <c r="A142" s="1">
        <v>45796</v>
      </c>
      <c r="B142">
        <v>208.78</v>
      </c>
      <c r="C142" t="str">
        <f t="shared" si="10"/>
        <v>May 2025</v>
      </c>
      <c r="D142" s="21">
        <f t="shared" si="13"/>
        <v>90.748661242089156</v>
      </c>
      <c r="E142">
        <v>3229.7550000000001</v>
      </c>
      <c r="F142" s="21">
        <f t="shared" si="11"/>
        <v>118.047248066053</v>
      </c>
      <c r="G142">
        <v>105474</v>
      </c>
      <c r="H142" s="21">
        <f t="shared" si="12"/>
        <v>154.41305646323039</v>
      </c>
      <c r="I142">
        <v>5.6255823215220369E-3</v>
      </c>
      <c r="J142" s="21">
        <f t="shared" si="14"/>
        <v>120.95453804212534</v>
      </c>
    </row>
    <row r="143" spans="1:10" x14ac:dyDescent="0.25">
      <c r="A143" s="1">
        <v>45797</v>
      </c>
      <c r="B143">
        <v>206.86</v>
      </c>
      <c r="C143" t="str">
        <f t="shared" si="10"/>
        <v>May 2025</v>
      </c>
      <c r="D143" s="21">
        <f t="shared" si="13"/>
        <v>89.914110856109602</v>
      </c>
      <c r="E143">
        <v>3289.9850000000001</v>
      </c>
      <c r="F143" s="21">
        <f t="shared" si="11"/>
        <v>120.24864902402608</v>
      </c>
      <c r="G143">
        <v>106619</v>
      </c>
      <c r="H143" s="21">
        <f t="shared" si="12"/>
        <v>156.08932691519391</v>
      </c>
      <c r="I143">
        <v>7.9572311600865087E-3</v>
      </c>
      <c r="J143" s="21">
        <f t="shared" si="14"/>
        <v>121.91700126118799</v>
      </c>
    </row>
    <row r="144" spans="1:10" x14ac:dyDescent="0.25">
      <c r="A144" s="1">
        <v>45798</v>
      </c>
      <c r="B144">
        <v>202.09</v>
      </c>
      <c r="C144" t="str">
        <f t="shared" si="10"/>
        <v>May 2025</v>
      </c>
      <c r="D144" s="21">
        <f t="shared" si="13"/>
        <v>87.840774740941654</v>
      </c>
      <c r="E144">
        <v>3315.43</v>
      </c>
      <c r="F144" s="21">
        <f t="shared" si="11"/>
        <v>121.17866143271982</v>
      </c>
      <c r="G144">
        <v>108456</v>
      </c>
      <c r="H144" s="21">
        <f t="shared" si="12"/>
        <v>158.77867959664101</v>
      </c>
      <c r="I144">
        <v>1.3447813348947965E-3</v>
      </c>
      <c r="J144" s="21">
        <f t="shared" si="14"/>
        <v>122.08095296889039</v>
      </c>
    </row>
    <row r="145" spans="1:10" x14ac:dyDescent="0.25">
      <c r="A145" s="1">
        <v>45799</v>
      </c>
      <c r="B145">
        <v>201.36</v>
      </c>
      <c r="C145" t="str">
        <f t="shared" si="10"/>
        <v>May 2025</v>
      </c>
      <c r="D145" s="21">
        <f t="shared" si="13"/>
        <v>87.523471729605689</v>
      </c>
      <c r="E145">
        <v>3294.7449999999999</v>
      </c>
      <c r="F145" s="21">
        <f t="shared" si="11"/>
        <v>120.42262658603755</v>
      </c>
      <c r="G145">
        <v>110868</v>
      </c>
      <c r="H145" s="21">
        <f t="shared" si="12"/>
        <v>162.30982748322268</v>
      </c>
      <c r="I145">
        <v>3.0925505723275676E-3</v>
      </c>
      <c r="J145" s="21">
        <f t="shared" si="14"/>
        <v>122.45849448986463</v>
      </c>
    </row>
    <row r="146" spans="1:10" x14ac:dyDescent="0.25">
      <c r="A146" s="1">
        <v>45800</v>
      </c>
      <c r="B146">
        <v>195.27</v>
      </c>
      <c r="C146" t="str">
        <f t="shared" si="10"/>
        <v>May 2025</v>
      </c>
      <c r="D146" s="21">
        <f t="shared" si="13"/>
        <v>84.876382224076792</v>
      </c>
      <c r="E146">
        <v>3360.91</v>
      </c>
      <c r="F146" s="21">
        <f t="shared" si="11"/>
        <v>122.84095124790522</v>
      </c>
      <c r="G146">
        <v>108696</v>
      </c>
      <c r="H146" s="21">
        <f t="shared" si="12"/>
        <v>159.13003759530585</v>
      </c>
      <c r="I146">
        <v>-6.9177693810289469E-3</v>
      </c>
      <c r="J146" s="21">
        <f t="shared" si="14"/>
        <v>121.61135486623574</v>
      </c>
    </row>
    <row r="147" spans="1:10" x14ac:dyDescent="0.25">
      <c r="A147" s="1">
        <v>45804</v>
      </c>
      <c r="B147">
        <v>200.21</v>
      </c>
      <c r="C147" t="str">
        <f t="shared" si="10"/>
        <v>May 2025</v>
      </c>
      <c r="D147" s="21">
        <f t="shared" si="13"/>
        <v>87.023610821336675</v>
      </c>
      <c r="E147">
        <v>3300.7049999999999</v>
      </c>
      <c r="F147" s="21">
        <f t="shared" si="11"/>
        <v>120.64046403763177</v>
      </c>
      <c r="G147">
        <v>108871</v>
      </c>
      <c r="H147" s="21">
        <f t="shared" si="12"/>
        <v>159.38623613599898</v>
      </c>
      <c r="I147">
        <v>9.0716863083886105E-4</v>
      </c>
      <c r="J147" s="21">
        <f t="shared" si="14"/>
        <v>121.7216768725242</v>
      </c>
    </row>
    <row r="148" spans="1:10" x14ac:dyDescent="0.25">
      <c r="A148" s="1">
        <v>45805</v>
      </c>
      <c r="B148">
        <v>200.42</v>
      </c>
      <c r="C148" t="str">
        <f t="shared" si="10"/>
        <v>May 2025</v>
      </c>
      <c r="D148" s="21">
        <f t="shared" si="13"/>
        <v>87.114889769803185</v>
      </c>
      <c r="E148">
        <v>3287.5250000000001</v>
      </c>
      <c r="F148" s="21">
        <f t="shared" si="11"/>
        <v>120.15873625038149</v>
      </c>
      <c r="G148">
        <v>107542</v>
      </c>
      <c r="H148" s="21">
        <f t="shared" si="12"/>
        <v>157.44059121839243</v>
      </c>
      <c r="I148">
        <v>-4.944697181532798E-3</v>
      </c>
      <c r="J148" s="21">
        <f t="shared" si="14"/>
        <v>121.11980003996118</v>
      </c>
    </row>
    <row r="149" spans="1:10" x14ac:dyDescent="0.25">
      <c r="A149" s="1">
        <v>45806</v>
      </c>
      <c r="B149">
        <v>199.95</v>
      </c>
      <c r="C149" t="str">
        <f t="shared" si="10"/>
        <v>May 2025</v>
      </c>
      <c r="D149" s="21">
        <f t="shared" si="13"/>
        <v>86.91059878990194</v>
      </c>
      <c r="E149">
        <v>3317.72</v>
      </c>
      <c r="F149" s="21">
        <f t="shared" si="11"/>
        <v>121.26236072200686</v>
      </c>
      <c r="G149">
        <v>106421</v>
      </c>
      <c r="H149" s="21">
        <f t="shared" si="12"/>
        <v>155.79945656629542</v>
      </c>
      <c r="I149">
        <v>-1.5678451370441081E-4</v>
      </c>
      <c r="J149" s="21">
        <f t="shared" si="14"/>
        <v>121.10081033101194</v>
      </c>
    </row>
    <row r="150" spans="1:10" x14ac:dyDescent="0.25">
      <c r="A150" s="1">
        <v>45807</v>
      </c>
      <c r="B150">
        <v>200.85</v>
      </c>
      <c r="C150" t="str">
        <f t="shared" si="10"/>
        <v>May 2025</v>
      </c>
      <c r="D150" s="21">
        <f t="shared" si="13"/>
        <v>87.301794283329855</v>
      </c>
      <c r="E150">
        <v>3294.895</v>
      </c>
      <c r="F150" s="21">
        <f t="shared" si="11"/>
        <v>120.4281090722354</v>
      </c>
      <c r="G150">
        <v>104584</v>
      </c>
      <c r="H150" s="21">
        <f t="shared" si="12"/>
        <v>153.11010388484829</v>
      </c>
      <c r="I150">
        <v>-6.5800414756280179E-3</v>
      </c>
      <c r="J150" s="21">
        <f t="shared" si="14"/>
        <v>120.30396197630172</v>
      </c>
    </row>
    <row r="151" spans="1:10" x14ac:dyDescent="0.25">
      <c r="A151" s="1">
        <v>45810</v>
      </c>
      <c r="B151">
        <v>201.7</v>
      </c>
      <c r="C151" t="str">
        <f t="shared" si="10"/>
        <v>Jun 2025</v>
      </c>
      <c r="D151" s="21">
        <f t="shared" si="13"/>
        <v>87.671256693789559</v>
      </c>
      <c r="E151">
        <v>3381.62</v>
      </c>
      <c r="F151" s="21">
        <f t="shared" si="11"/>
        <v>123.59789984228713</v>
      </c>
      <c r="G151">
        <v>104952</v>
      </c>
      <c r="H151" s="21">
        <f t="shared" si="12"/>
        <v>153.64885281613437</v>
      </c>
      <c r="I151">
        <v>1.2853623323894503E-2</v>
      </c>
      <c r="J151" s="21">
        <f t="shared" si="14"/>
        <v>121.85030378791723</v>
      </c>
    </row>
    <row r="152" spans="1:10" x14ac:dyDescent="0.25">
      <c r="A152" s="1">
        <v>45811</v>
      </c>
      <c r="B152">
        <v>203.27</v>
      </c>
      <c r="C152" t="str">
        <f t="shared" si="10"/>
        <v>Jun 2025</v>
      </c>
      <c r="D152" s="21">
        <f t="shared" si="13"/>
        <v>88.353675498991592</v>
      </c>
      <c r="E152">
        <v>3353.45</v>
      </c>
      <c r="F152" s="21">
        <f t="shared" si="11"/>
        <v>122.5682889343326</v>
      </c>
      <c r="G152">
        <v>105455</v>
      </c>
      <c r="H152" s="21">
        <f t="shared" si="12"/>
        <v>154.38524062166942</v>
      </c>
      <c r="I152">
        <v>4.4082059798185021E-4</v>
      </c>
      <c r="J152" s="21">
        <f t="shared" si="14"/>
        <v>121.90401791169728</v>
      </c>
    </row>
    <row r="153" spans="1:10" x14ac:dyDescent="0.25">
      <c r="A153" s="1">
        <v>45812</v>
      </c>
      <c r="B153">
        <v>202.82</v>
      </c>
      <c r="C153" t="str">
        <f t="shared" si="10"/>
        <v>Jun 2025</v>
      </c>
      <c r="D153" s="21">
        <f t="shared" si="13"/>
        <v>88.158077752277634</v>
      </c>
      <c r="E153">
        <v>3372.6950000000002</v>
      </c>
      <c r="F153" s="21">
        <f t="shared" si="11"/>
        <v>123.27169191351561</v>
      </c>
      <c r="G153">
        <v>104983</v>
      </c>
      <c r="H153" s="21">
        <f t="shared" si="12"/>
        <v>153.69423655762859</v>
      </c>
      <c r="I153">
        <v>2.8865225473920816E-4</v>
      </c>
      <c r="J153" s="21">
        <f t="shared" si="14"/>
        <v>121.93920578132926</v>
      </c>
    </row>
    <row r="154" spans="1:10" x14ac:dyDescent="0.25">
      <c r="A154" s="1">
        <v>45813</v>
      </c>
      <c r="B154">
        <v>200.63</v>
      </c>
      <c r="C154" t="str">
        <f t="shared" si="10"/>
        <v>Jun 2025</v>
      </c>
      <c r="D154" s="21">
        <f t="shared" si="13"/>
        <v>87.206168718269694</v>
      </c>
      <c r="E154">
        <v>3352.82</v>
      </c>
      <c r="F154" s="21">
        <f t="shared" si="11"/>
        <v>122.54526249230166</v>
      </c>
      <c r="G154">
        <v>101619</v>
      </c>
      <c r="H154" s="21">
        <f t="shared" si="12"/>
        <v>148.76936860967643</v>
      </c>
      <c r="I154">
        <v>-1.5209475882004031E-2</v>
      </c>
      <c r="J154" s="21">
        <f t="shared" si="14"/>
        <v>120.0845743719274</v>
      </c>
    </row>
    <row r="155" spans="1:10" x14ac:dyDescent="0.25">
      <c r="A155" s="1">
        <v>45814</v>
      </c>
      <c r="B155">
        <v>203.92</v>
      </c>
      <c r="C155" t="str">
        <f t="shared" si="10"/>
        <v>Jun 2025</v>
      </c>
      <c r="D155" s="21">
        <f t="shared" si="13"/>
        <v>88.636205577578409</v>
      </c>
      <c r="E155">
        <v>3312.4349999999999</v>
      </c>
      <c r="F155" s="21">
        <f t="shared" si="11"/>
        <v>121.06919445830296</v>
      </c>
      <c r="G155">
        <v>104303</v>
      </c>
      <c r="H155" s="21">
        <f t="shared" si="12"/>
        <v>152.6987222280782</v>
      </c>
      <c r="I155">
        <v>8.0251848425074053E-3</v>
      </c>
      <c r="J155" s="21">
        <f t="shared" si="14"/>
        <v>121.04827527799596</v>
      </c>
    </row>
    <row r="156" spans="1:10" x14ac:dyDescent="0.25">
      <c r="A156" s="1">
        <v>45817</v>
      </c>
      <c r="B156">
        <v>201.45</v>
      </c>
      <c r="C156" t="str">
        <f t="shared" si="10"/>
        <v>Jun 2025</v>
      </c>
      <c r="D156" s="21">
        <f t="shared" si="13"/>
        <v>87.56259127894846</v>
      </c>
      <c r="E156">
        <v>3325.665</v>
      </c>
      <c r="F156" s="21">
        <f t="shared" si="11"/>
        <v>121.55274974095252</v>
      </c>
      <c r="G156">
        <v>109947</v>
      </c>
      <c r="H156" s="21">
        <f t="shared" si="12"/>
        <v>160.96149116334635</v>
      </c>
      <c r="I156">
        <v>1.4197311932686727E-2</v>
      </c>
      <c r="J156" s="21">
        <f t="shared" si="14"/>
        <v>122.7668354010314</v>
      </c>
    </row>
    <row r="157" spans="1:10" x14ac:dyDescent="0.25">
      <c r="A157" s="1">
        <v>45818</v>
      </c>
      <c r="B157">
        <v>202.67</v>
      </c>
      <c r="C157" t="str">
        <f t="shared" si="10"/>
        <v>Jun 2025</v>
      </c>
      <c r="D157" s="21">
        <f t="shared" si="13"/>
        <v>88.092878503372972</v>
      </c>
      <c r="E157">
        <v>3323.2249999999999</v>
      </c>
      <c r="F157" s="21">
        <f t="shared" si="11"/>
        <v>121.46356796546765</v>
      </c>
      <c r="G157">
        <v>109918</v>
      </c>
      <c r="H157" s="21">
        <f t="shared" si="12"/>
        <v>160.91903540517433</v>
      </c>
      <c r="I157">
        <v>1.4442238225644164E-3</v>
      </c>
      <c r="J157" s="21">
        <f t="shared" si="14"/>
        <v>122.94413818933842</v>
      </c>
    </row>
    <row r="158" spans="1:10" x14ac:dyDescent="0.25">
      <c r="A158" s="1">
        <v>45819</v>
      </c>
      <c r="B158">
        <v>198.78</v>
      </c>
      <c r="C158" t="str">
        <f t="shared" si="10"/>
        <v>Jun 2025</v>
      </c>
      <c r="D158" s="21">
        <f t="shared" si="13"/>
        <v>86.402044648445653</v>
      </c>
      <c r="E158">
        <v>3355.0749999999998</v>
      </c>
      <c r="F158" s="21">
        <f t="shared" si="11"/>
        <v>122.6276825348092</v>
      </c>
      <c r="G158">
        <v>108551</v>
      </c>
      <c r="H158" s="21">
        <f t="shared" si="12"/>
        <v>158.91775880444587</v>
      </c>
      <c r="I158">
        <v>-5.6554665904762205E-3</v>
      </c>
      <c r="J158" s="21">
        <f t="shared" si="14"/>
        <v>122.24883172331373</v>
      </c>
    </row>
    <row r="159" spans="1:10" x14ac:dyDescent="0.25">
      <c r="A159" s="1">
        <v>45820</v>
      </c>
      <c r="B159">
        <v>199.2</v>
      </c>
      <c r="C159" t="str">
        <f t="shared" si="10"/>
        <v>Jun 2025</v>
      </c>
      <c r="D159" s="21">
        <f t="shared" si="13"/>
        <v>86.584602545378672</v>
      </c>
      <c r="E159">
        <v>3385.88</v>
      </c>
      <c r="F159" s="21">
        <f t="shared" si="11"/>
        <v>123.75360245030582</v>
      </c>
      <c r="G159">
        <v>105971</v>
      </c>
      <c r="H159" s="21">
        <f t="shared" si="12"/>
        <v>155.14066031879884</v>
      </c>
      <c r="I159">
        <v>-2.8237772305438778E-3</v>
      </c>
      <c r="J159" s="21">
        <f t="shared" si="14"/>
        <v>121.90362825583286</v>
      </c>
    </row>
    <row r="160" spans="1:10" x14ac:dyDescent="0.25">
      <c r="A160" s="1">
        <v>45821</v>
      </c>
      <c r="B160">
        <v>196.45</v>
      </c>
      <c r="C160" t="str">
        <f t="shared" si="10"/>
        <v>Jun 2025</v>
      </c>
      <c r="D160" s="21">
        <f t="shared" si="13"/>
        <v>85.389282982126716</v>
      </c>
      <c r="E160">
        <v>3432.53</v>
      </c>
      <c r="F160" s="21">
        <f t="shared" si="11"/>
        <v>125.45865565783438</v>
      </c>
      <c r="G160">
        <v>105248</v>
      </c>
      <c r="H160" s="21">
        <f t="shared" si="12"/>
        <v>154.082194347821</v>
      </c>
      <c r="I160">
        <v>-6.7722998766391821E-4</v>
      </c>
      <c r="J160" s="21">
        <f t="shared" si="14"/>
        <v>121.82107146317297</v>
      </c>
    </row>
    <row r="161" spans="1:10" x14ac:dyDescent="0.25">
      <c r="A161" s="1">
        <v>45824</v>
      </c>
      <c r="B161">
        <v>198.42</v>
      </c>
      <c r="C161" t="str">
        <f t="shared" si="10"/>
        <v>Jun 2025</v>
      </c>
      <c r="D161" s="21">
        <f t="shared" si="13"/>
        <v>86.245566451074481</v>
      </c>
      <c r="E161">
        <v>3385.24</v>
      </c>
      <c r="F161" s="21">
        <f t="shared" si="11"/>
        <v>123.73021050919503</v>
      </c>
      <c r="G161">
        <v>108567</v>
      </c>
      <c r="H161" s="21">
        <f t="shared" si="12"/>
        <v>158.94118267102354</v>
      </c>
      <c r="I161">
        <v>6.958107413276203E-3</v>
      </c>
      <c r="J161" s="21">
        <f t="shared" si="14"/>
        <v>122.66871556361413</v>
      </c>
    </row>
    <row r="162" spans="1:10" x14ac:dyDescent="0.25">
      <c r="A162" s="1">
        <v>45825</v>
      </c>
      <c r="B162">
        <v>195.64</v>
      </c>
      <c r="C162" t="str">
        <f t="shared" si="10"/>
        <v>Jun 2025</v>
      </c>
      <c r="D162" s="21">
        <f t="shared" si="13"/>
        <v>85.037207038041586</v>
      </c>
      <c r="E162">
        <v>3388.63</v>
      </c>
      <c r="F162" s="21">
        <f t="shared" si="11"/>
        <v>123.85411469726624</v>
      </c>
      <c r="G162">
        <v>104579</v>
      </c>
      <c r="H162" s="21">
        <f t="shared" si="12"/>
        <v>153.10278392654277</v>
      </c>
      <c r="I162">
        <v>-1.4822566061462749E-2</v>
      </c>
      <c r="J162" s="21">
        <f t="shared" si="14"/>
        <v>120.85045042349768</v>
      </c>
    </row>
    <row r="163" spans="1:10" x14ac:dyDescent="0.25">
      <c r="A163" s="1">
        <v>45826</v>
      </c>
      <c r="B163">
        <v>196.58</v>
      </c>
      <c r="C163" t="str">
        <f t="shared" si="10"/>
        <v>Jun 2025</v>
      </c>
      <c r="D163" s="21">
        <f t="shared" si="13"/>
        <v>85.44578899784409</v>
      </c>
      <c r="E163">
        <v>3369.41</v>
      </c>
      <c r="F163" s="21">
        <f t="shared" si="11"/>
        <v>123.15162546578289</v>
      </c>
      <c r="G163">
        <v>105106</v>
      </c>
      <c r="H163" s="21">
        <f t="shared" si="12"/>
        <v>153.87430753194431</v>
      </c>
      <c r="I163">
        <v>6.8443532601540884E-4</v>
      </c>
      <c r="J163" s="21">
        <f t="shared" si="14"/>
        <v>120.93316474093238</v>
      </c>
    </row>
    <row r="164" spans="1:10" x14ac:dyDescent="0.25">
      <c r="A164" s="1">
        <v>45828</v>
      </c>
      <c r="B164">
        <v>201</v>
      </c>
      <c r="C164" t="str">
        <f t="shared" si="10"/>
        <v>Jun 2025</v>
      </c>
      <c r="D164" s="21">
        <f t="shared" si="13"/>
        <v>87.366993532234517</v>
      </c>
      <c r="E164">
        <v>3365.4650000000001</v>
      </c>
      <c r="F164" s="21">
        <f t="shared" si="11"/>
        <v>123.00743607877966</v>
      </c>
      <c r="G164">
        <v>103437</v>
      </c>
      <c r="H164" s="21">
        <f t="shared" si="12"/>
        <v>151.43090544956257</v>
      </c>
      <c r="I164">
        <v>1.5132518584688674E-3</v>
      </c>
      <c r="J164" s="21">
        <f t="shared" si="14"/>
        <v>121.11616707722712</v>
      </c>
    </row>
    <row r="165" spans="1:10" x14ac:dyDescent="0.25">
      <c r="A165" s="1">
        <v>45831</v>
      </c>
      <c r="B165">
        <v>201.5</v>
      </c>
      <c r="C165" t="str">
        <f t="shared" si="10"/>
        <v>Jun 2025</v>
      </c>
      <c r="D165" s="21">
        <f t="shared" si="13"/>
        <v>87.584324361916686</v>
      </c>
      <c r="E165">
        <v>3368.7550000000001</v>
      </c>
      <c r="F165" s="21">
        <f t="shared" si="11"/>
        <v>123.12768527605232</v>
      </c>
      <c r="G165">
        <v>103788</v>
      </c>
      <c r="H165" s="21">
        <f t="shared" si="12"/>
        <v>151.94476652260991</v>
      </c>
      <c r="I165">
        <v>2.1553102798647526E-3</v>
      </c>
      <c r="J165" s="21">
        <f t="shared" si="14"/>
        <v>121.3772099971865</v>
      </c>
    </row>
    <row r="166" spans="1:10" x14ac:dyDescent="0.25">
      <c r="A166" s="1">
        <v>45832</v>
      </c>
      <c r="B166">
        <v>200.3</v>
      </c>
      <c r="C166" t="str">
        <f t="shared" si="10"/>
        <v>Jun 2025</v>
      </c>
      <c r="D166" s="21">
        <f t="shared" si="13"/>
        <v>87.062730370679475</v>
      </c>
      <c r="E166">
        <v>3324.0349999999999</v>
      </c>
      <c r="F166" s="21">
        <f t="shared" si="11"/>
        <v>121.49317339093597</v>
      </c>
      <c r="G166">
        <v>106105</v>
      </c>
      <c r="H166" s="21">
        <f t="shared" si="12"/>
        <v>155.33683520138669</v>
      </c>
      <c r="I166">
        <v>-3.9926801523807527E-4</v>
      </c>
      <c r="J166" s="21">
        <f t="shared" si="14"/>
        <v>121.3287479594558</v>
      </c>
    </row>
    <row r="167" spans="1:10" x14ac:dyDescent="0.25">
      <c r="A167" s="1">
        <v>45833</v>
      </c>
      <c r="B167">
        <v>201.56</v>
      </c>
      <c r="C167" t="str">
        <f t="shared" si="10"/>
        <v>Jun 2025</v>
      </c>
      <c r="D167" s="21">
        <f t="shared" si="13"/>
        <v>87.610404061478548</v>
      </c>
      <c r="E167">
        <v>3332.2950000000001</v>
      </c>
      <c r="F167" s="21">
        <f t="shared" si="11"/>
        <v>121.79507563089709</v>
      </c>
      <c r="G167">
        <v>107677</v>
      </c>
      <c r="H167" s="21">
        <f t="shared" si="12"/>
        <v>157.63823009264141</v>
      </c>
      <c r="I167">
        <v>7.3257958135307449E-3</v>
      </c>
      <c r="J167" s="21">
        <f t="shared" si="14"/>
        <v>122.2175775933181</v>
      </c>
    </row>
    <row r="168" spans="1:10" x14ac:dyDescent="0.25">
      <c r="A168" s="1">
        <v>45834</v>
      </c>
      <c r="B168">
        <v>201</v>
      </c>
      <c r="C168" t="str">
        <f t="shared" si="10"/>
        <v>Jun 2025</v>
      </c>
      <c r="D168" s="21">
        <f t="shared" si="13"/>
        <v>87.366993532234517</v>
      </c>
      <c r="E168">
        <v>3327.9050000000002</v>
      </c>
      <c r="F168" s="21">
        <f t="shared" si="11"/>
        <v>121.63462153484028</v>
      </c>
      <c r="G168">
        <v>107106</v>
      </c>
      <c r="H168" s="21">
        <f t="shared" si="12"/>
        <v>156.80229085415132</v>
      </c>
      <c r="I168">
        <v>-2.9513318472001336E-3</v>
      </c>
      <c r="J168" s="21">
        <f t="shared" si="14"/>
        <v>121.85687296427929</v>
      </c>
    </row>
    <row r="169" spans="1:10" x14ac:dyDescent="0.25">
      <c r="A169" s="1">
        <v>45835</v>
      </c>
      <c r="B169">
        <v>201.08</v>
      </c>
      <c r="C169" t="str">
        <f t="shared" si="10"/>
        <v>Jun 2025</v>
      </c>
      <c r="D169" s="21">
        <f t="shared" si="13"/>
        <v>87.401766464983666</v>
      </c>
      <c r="E169">
        <v>3271.1350000000002</v>
      </c>
      <c r="F169" s="21">
        <f t="shared" si="11"/>
        <v>119.5596832584974</v>
      </c>
      <c r="G169">
        <v>106883</v>
      </c>
      <c r="H169" s="21">
        <f t="shared" si="12"/>
        <v>156.47582071372523</v>
      </c>
      <c r="I169">
        <v>-7.3287239718774384E-3</v>
      </c>
      <c r="J169" s="21">
        <f t="shared" si="14"/>
        <v>120.96381757824795</v>
      </c>
    </row>
    <row r="170" spans="1:10" x14ac:dyDescent="0.25">
      <c r="A170" s="1">
        <v>45838</v>
      </c>
      <c r="B170">
        <v>205.17</v>
      </c>
      <c r="C170" t="str">
        <f t="shared" si="10"/>
        <v>Jun 2025</v>
      </c>
      <c r="D170" s="21">
        <f t="shared" si="13"/>
        <v>89.179532651783845</v>
      </c>
      <c r="E170">
        <v>3303.05</v>
      </c>
      <c r="F170" s="21">
        <f t="shared" si="11"/>
        <v>120.72617357185804</v>
      </c>
      <c r="G170">
        <v>107173</v>
      </c>
      <c r="H170" s="21">
        <f t="shared" si="12"/>
        <v>156.90037829544525</v>
      </c>
      <c r="I170">
        <v>1.0818644050129755E-2</v>
      </c>
      <c r="J170" s="21">
        <f t="shared" si="14"/>
        <v>122.27248206357184</v>
      </c>
    </row>
    <row r="171" spans="1:10" x14ac:dyDescent="0.25">
      <c r="A171" s="1">
        <v>45839</v>
      </c>
      <c r="B171">
        <v>207.82</v>
      </c>
      <c r="C171" t="str">
        <f t="shared" si="10"/>
        <v>Jul 2025</v>
      </c>
      <c r="D171" s="21">
        <f t="shared" si="13"/>
        <v>90.331386049099379</v>
      </c>
      <c r="E171">
        <v>3338.5250000000001</v>
      </c>
      <c r="F171" s="21">
        <f t="shared" si="11"/>
        <v>122.02278155764743</v>
      </c>
      <c r="G171">
        <v>105808</v>
      </c>
      <c r="H171" s="21">
        <f t="shared" si="12"/>
        <v>154.90202967803896</v>
      </c>
      <c r="I171">
        <v>4.3499398831936438E-3</v>
      </c>
      <c r="J171" s="21">
        <f t="shared" si="14"/>
        <v>122.80436000991726</v>
      </c>
    </row>
    <row r="172" spans="1:10" x14ac:dyDescent="0.25">
      <c r="A172" s="1">
        <v>45840</v>
      </c>
      <c r="B172">
        <v>212.44</v>
      </c>
      <c r="C172" t="str">
        <f t="shared" si="10"/>
        <v>Jul 2025</v>
      </c>
      <c r="D172" s="21">
        <f t="shared" si="13"/>
        <v>92.339522915362679</v>
      </c>
      <c r="E172">
        <v>3357.6750000000002</v>
      </c>
      <c r="F172" s="21">
        <f t="shared" si="11"/>
        <v>122.7227122955718</v>
      </c>
      <c r="G172">
        <v>109496</v>
      </c>
      <c r="H172" s="21">
        <f t="shared" si="12"/>
        <v>160.30123092418867</v>
      </c>
      <c r="I172">
        <v>1.942033566468384E-2</v>
      </c>
      <c r="J172" s="21">
        <f t="shared" si="14"/>
        <v>125.18926190239652</v>
      </c>
    </row>
    <row r="173" spans="1:10" x14ac:dyDescent="0.25">
      <c r="A173" s="1">
        <v>45841</v>
      </c>
      <c r="B173">
        <v>213.55</v>
      </c>
      <c r="C173" t="str">
        <f t="shared" si="10"/>
        <v>Jul 2025</v>
      </c>
      <c r="D173" s="21">
        <f t="shared" si="13"/>
        <v>92.821997357257118</v>
      </c>
      <c r="E173">
        <v>3326.105</v>
      </c>
      <c r="F173" s="21">
        <f t="shared" si="11"/>
        <v>121.56883170046619</v>
      </c>
      <c r="G173">
        <v>109864</v>
      </c>
      <c r="H173" s="21">
        <f t="shared" si="12"/>
        <v>160.83997985547475</v>
      </c>
      <c r="I173">
        <v>-1.1851783450492763E-3</v>
      </c>
      <c r="J173" s="21">
        <f t="shared" si="14"/>
        <v>125.0408903001571</v>
      </c>
    </row>
    <row r="174" spans="1:10" x14ac:dyDescent="0.25">
      <c r="A174" s="1">
        <v>45845</v>
      </c>
      <c r="B174">
        <v>209.95</v>
      </c>
      <c r="C174" t="str">
        <f t="shared" si="10"/>
        <v>Jul 2025</v>
      </c>
      <c r="D174" s="21">
        <f t="shared" si="13"/>
        <v>91.257215383545443</v>
      </c>
      <c r="E174">
        <v>3336.9650000000001</v>
      </c>
      <c r="F174" s="21">
        <f t="shared" si="11"/>
        <v>121.96576370118987</v>
      </c>
      <c r="G174">
        <v>108221</v>
      </c>
      <c r="H174" s="21">
        <f t="shared" si="12"/>
        <v>158.43464155628172</v>
      </c>
      <c r="I174">
        <v>-8.2377874663443935E-3</v>
      </c>
      <c r="J174" s="21">
        <f t="shared" si="14"/>
        <v>124.01083002126192</v>
      </c>
    </row>
    <row r="175" spans="1:10" x14ac:dyDescent="0.25">
      <c r="A175" s="1">
        <v>45846</v>
      </c>
      <c r="B175">
        <v>210.01</v>
      </c>
      <c r="C175" t="str">
        <f t="shared" si="10"/>
        <v>Jul 2025</v>
      </c>
      <c r="D175" s="21">
        <f t="shared" si="13"/>
        <v>91.283295083107305</v>
      </c>
      <c r="E175">
        <v>3301.605</v>
      </c>
      <c r="F175" s="21">
        <f t="shared" si="11"/>
        <v>120.67335895481884</v>
      </c>
      <c r="G175">
        <v>108900</v>
      </c>
      <c r="H175" s="21">
        <f t="shared" si="12"/>
        <v>159.42869189417098</v>
      </c>
      <c r="I175">
        <v>-2.2705879155338064E-3</v>
      </c>
      <c r="J175" s="21">
        <f t="shared" si="14"/>
        <v>123.72925252922033</v>
      </c>
    </row>
    <row r="176" spans="1:10" x14ac:dyDescent="0.25">
      <c r="A176" s="1">
        <v>45847</v>
      </c>
      <c r="B176">
        <v>211.14</v>
      </c>
      <c r="C176" t="str">
        <f t="shared" si="10"/>
        <v>Jul 2025</v>
      </c>
      <c r="D176" s="21">
        <f t="shared" si="13"/>
        <v>91.774462758189017</v>
      </c>
      <c r="E176">
        <v>3313.6849999999999</v>
      </c>
      <c r="F176" s="21">
        <f t="shared" si="11"/>
        <v>121.11488184328496</v>
      </c>
      <c r="G176">
        <v>110857</v>
      </c>
      <c r="H176" s="21">
        <f t="shared" si="12"/>
        <v>162.29372357495052</v>
      </c>
      <c r="I176">
        <v>8.468924036370451E-3</v>
      </c>
      <c r="J176" s="21">
        <f t="shared" si="14"/>
        <v>124.7771061699672</v>
      </c>
    </row>
    <row r="177" spans="1:10" x14ac:dyDescent="0.25">
      <c r="A177" s="1">
        <v>45848</v>
      </c>
      <c r="B177">
        <v>212.41</v>
      </c>
      <c r="C177" t="str">
        <f t="shared" si="10"/>
        <v>Jul 2025</v>
      </c>
      <c r="D177" s="21">
        <f t="shared" si="13"/>
        <v>92.326483065581755</v>
      </c>
      <c r="E177">
        <v>3324.0450000000001</v>
      </c>
      <c r="F177" s="21">
        <f t="shared" si="11"/>
        <v>121.49353889001584</v>
      </c>
      <c r="G177">
        <v>116482</v>
      </c>
      <c r="H177" s="21">
        <f t="shared" si="12"/>
        <v>170.52867666865771</v>
      </c>
      <c r="I177">
        <v>1.8277374836392576E-2</v>
      </c>
      <c r="J177" s="21">
        <f t="shared" si="14"/>
        <v>127.05770411043602</v>
      </c>
    </row>
    <row r="178" spans="1:10" x14ac:dyDescent="0.25">
      <c r="A178" s="1">
        <v>45849</v>
      </c>
      <c r="B178">
        <v>211.16</v>
      </c>
      <c r="C178" t="str">
        <f t="shared" si="10"/>
        <v>Jul 2025</v>
      </c>
      <c r="D178" s="21">
        <f t="shared" si="13"/>
        <v>91.783155991376319</v>
      </c>
      <c r="E178">
        <v>3356.4450000000002</v>
      </c>
      <c r="F178" s="21">
        <f t="shared" si="11"/>
        <v>122.6777559087495</v>
      </c>
      <c r="G178">
        <v>118028</v>
      </c>
      <c r="H178" s="21">
        <f t="shared" si="12"/>
        <v>172.79200777672372</v>
      </c>
      <c r="I178">
        <v>6.1151416640864648E-3</v>
      </c>
      <c r="J178" s="21">
        <f t="shared" si="14"/>
        <v>127.83467997058493</v>
      </c>
    </row>
    <row r="179" spans="1:10" x14ac:dyDescent="0.25">
      <c r="A179" s="1">
        <v>45852</v>
      </c>
      <c r="B179">
        <v>208.62</v>
      </c>
      <c r="C179" t="str">
        <f t="shared" si="10"/>
        <v>Jul 2025</v>
      </c>
      <c r="D179" s="21">
        <f t="shared" si="13"/>
        <v>90.679115376590872</v>
      </c>
      <c r="E179">
        <v>3343.5050000000001</v>
      </c>
      <c r="F179" s="21">
        <f t="shared" si="11"/>
        <v>122.20480009941575</v>
      </c>
      <c r="G179">
        <v>120035</v>
      </c>
      <c r="H179" s="21">
        <f t="shared" si="12"/>
        <v>175.73023904055844</v>
      </c>
      <c r="I179">
        <v>-4.9413907871565139E-5</v>
      </c>
      <c r="J179" s="21">
        <f t="shared" si="14"/>
        <v>127.82836315948606</v>
      </c>
    </row>
    <row r="180" spans="1:10" x14ac:dyDescent="0.25">
      <c r="A180" s="1">
        <v>45853</v>
      </c>
      <c r="B180">
        <v>209.11</v>
      </c>
      <c r="C180" t="str">
        <f t="shared" si="10"/>
        <v>Jul 2025</v>
      </c>
      <c r="D180" s="21">
        <f t="shared" si="13"/>
        <v>90.892099589679404</v>
      </c>
      <c r="E180">
        <v>3323.9850000000001</v>
      </c>
      <c r="F180" s="21">
        <f t="shared" si="11"/>
        <v>121.49134589553671</v>
      </c>
      <c r="G180">
        <v>117548</v>
      </c>
      <c r="H180" s="21">
        <f t="shared" si="12"/>
        <v>172.08929177939405</v>
      </c>
      <c r="I180">
        <v>-7.8463305743932781E-3</v>
      </c>
      <c r="J180" s="21">
        <f t="shared" si="14"/>
        <v>126.82537956535313</v>
      </c>
    </row>
    <row r="181" spans="1:10" x14ac:dyDescent="0.25">
      <c r="A181" s="1">
        <v>45854</v>
      </c>
      <c r="B181">
        <v>210.16</v>
      </c>
      <c r="C181" t="str">
        <f t="shared" si="10"/>
        <v>Jul 2025</v>
      </c>
      <c r="D181" s="21">
        <f t="shared" si="13"/>
        <v>91.348494332011967</v>
      </c>
      <c r="E181">
        <v>3347.5749999999998</v>
      </c>
      <c r="F181" s="21">
        <f t="shared" si="11"/>
        <v>122.35355822491715</v>
      </c>
      <c r="G181">
        <v>119345</v>
      </c>
      <c r="H181" s="21">
        <f t="shared" si="12"/>
        <v>174.72008479439702</v>
      </c>
      <c r="I181">
        <v>8.9313570959453029E-3</v>
      </c>
      <c r="J181" s="21">
        <f t="shared" si="14"/>
        <v>127.9581023190801</v>
      </c>
    </row>
    <row r="182" spans="1:10" x14ac:dyDescent="0.25">
      <c r="A182" s="1">
        <v>45855</v>
      </c>
      <c r="B182">
        <v>210.02</v>
      </c>
      <c r="C182" t="str">
        <f t="shared" si="10"/>
        <v>Jul 2025</v>
      </c>
      <c r="D182" s="21">
        <f t="shared" si="13"/>
        <v>91.287641699700956</v>
      </c>
      <c r="E182">
        <v>3339.2049999999999</v>
      </c>
      <c r="F182" s="21">
        <f t="shared" si="11"/>
        <v>122.04763549507763</v>
      </c>
      <c r="G182">
        <v>120334</v>
      </c>
      <c r="H182" s="21">
        <f t="shared" si="12"/>
        <v>176.16797254722837</v>
      </c>
      <c r="I182">
        <v>1.2860951050127408E-3</v>
      </c>
      <c r="J182" s="21">
        <f t="shared" si="14"/>
        <v>128.12266860811937</v>
      </c>
    </row>
    <row r="183" spans="1:10" x14ac:dyDescent="0.25">
      <c r="A183" s="1">
        <v>45856</v>
      </c>
      <c r="B183">
        <v>211.18</v>
      </c>
      <c r="C183" t="str">
        <f t="shared" si="10"/>
        <v>Jul 2025</v>
      </c>
      <c r="D183" s="21">
        <f t="shared" si="13"/>
        <v>91.791849224563606</v>
      </c>
      <c r="E183">
        <v>3348.2950000000001</v>
      </c>
      <c r="F183" s="21">
        <f t="shared" si="11"/>
        <v>122.37987415866681</v>
      </c>
      <c r="G183">
        <v>117437</v>
      </c>
      <c r="H183" s="21">
        <f t="shared" si="12"/>
        <v>171.92678870501155</v>
      </c>
      <c r="I183">
        <v>-4.4765306763314356E-3</v>
      </c>
      <c r="J183" s="21">
        <f t="shared" si="14"/>
        <v>127.54912355176167</v>
      </c>
    </row>
    <row r="184" spans="1:10" x14ac:dyDescent="0.25">
      <c r="A184" s="1">
        <v>45859</v>
      </c>
      <c r="B184">
        <v>212.48</v>
      </c>
      <c r="C184" t="str">
        <f t="shared" si="10"/>
        <v>Jul 2025</v>
      </c>
      <c r="D184" s="21">
        <f t="shared" si="13"/>
        <v>92.356909381737253</v>
      </c>
      <c r="E184">
        <v>3397.1350000000002</v>
      </c>
      <c r="F184" s="21">
        <f t="shared" si="11"/>
        <v>124.16497166468383</v>
      </c>
      <c r="G184">
        <v>117274</v>
      </c>
      <c r="H184" s="21">
        <f t="shared" si="12"/>
        <v>171.6881580642517</v>
      </c>
      <c r="I184">
        <v>7.2649836686426656E-3</v>
      </c>
      <c r="J184" s="21">
        <f t="shared" si="14"/>
        <v>128.47576585131492</v>
      </c>
    </row>
    <row r="185" spans="1:10" x14ac:dyDescent="0.25">
      <c r="A185" s="1">
        <v>45860</v>
      </c>
      <c r="B185">
        <v>214.4</v>
      </c>
      <c r="C185" t="str">
        <f t="shared" si="10"/>
        <v>Jul 2025</v>
      </c>
      <c r="D185" s="21">
        <f t="shared" si="13"/>
        <v>93.191459767716808</v>
      </c>
      <c r="E185">
        <v>3431.7449999999999</v>
      </c>
      <c r="F185" s="21">
        <f t="shared" si="11"/>
        <v>125.42996398006568</v>
      </c>
      <c r="G185">
        <v>119435</v>
      </c>
      <c r="H185" s="21">
        <f t="shared" si="12"/>
        <v>174.85184404389634</v>
      </c>
      <c r="I185">
        <v>1.2314121573763414E-2</v>
      </c>
      <c r="J185" s="21">
        <f t="shared" si="14"/>
        <v>130.05783205129038</v>
      </c>
    </row>
    <row r="186" spans="1:10" x14ac:dyDescent="0.25">
      <c r="A186" s="1">
        <v>45861</v>
      </c>
      <c r="B186">
        <v>214.15</v>
      </c>
      <c r="C186" t="str">
        <f t="shared" si="10"/>
        <v>Jul 2025</v>
      </c>
      <c r="D186" s="21">
        <f t="shared" si="13"/>
        <v>93.082794352875737</v>
      </c>
      <c r="E186">
        <v>3387.2649999999999</v>
      </c>
      <c r="F186" s="21">
        <f t="shared" si="11"/>
        <v>123.80422407286589</v>
      </c>
      <c r="G186">
        <v>118120</v>
      </c>
      <c r="H186" s="21">
        <f t="shared" si="12"/>
        <v>172.92669500954526</v>
      </c>
      <c r="I186">
        <v>-8.8373997007339285E-3</v>
      </c>
      <c r="J186" s="21">
        <f t="shared" si="14"/>
        <v>128.90845900524221</v>
      </c>
    </row>
    <row r="187" spans="1:10" x14ac:dyDescent="0.25">
      <c r="A187" s="1">
        <v>45862</v>
      </c>
      <c r="B187">
        <v>213.76</v>
      </c>
      <c r="C187" t="str">
        <f t="shared" si="10"/>
        <v>Jul 2025</v>
      </c>
      <c r="D187" s="21">
        <f t="shared" si="13"/>
        <v>92.913276305723628</v>
      </c>
      <c r="E187">
        <v>3368.625</v>
      </c>
      <c r="F187" s="21">
        <f t="shared" si="11"/>
        <v>123.12293378801418</v>
      </c>
      <c r="G187">
        <v>118598</v>
      </c>
      <c r="H187" s="21">
        <f t="shared" si="12"/>
        <v>173.62648302355271</v>
      </c>
      <c r="I187">
        <v>-1.5335122906307121E-3</v>
      </c>
      <c r="J187" s="21">
        <f t="shared" si="14"/>
        <v>128.71077629899139</v>
      </c>
    </row>
    <row r="188" spans="1:10" x14ac:dyDescent="0.25">
      <c r="A188" s="1">
        <v>45863</v>
      </c>
      <c r="B188">
        <v>213.88</v>
      </c>
      <c r="C188" t="str">
        <f t="shared" si="10"/>
        <v>Jul 2025</v>
      </c>
      <c r="D188" s="21">
        <f t="shared" si="13"/>
        <v>92.965435704847337</v>
      </c>
      <c r="E188">
        <v>3337.5349999999999</v>
      </c>
      <c r="F188" s="21">
        <f t="shared" si="11"/>
        <v>121.98659714874167</v>
      </c>
      <c r="G188">
        <v>116758</v>
      </c>
      <c r="H188" s="21">
        <f t="shared" si="12"/>
        <v>170.93273836712228</v>
      </c>
      <c r="I188">
        <v>-8.1776794619154766E-3</v>
      </c>
      <c r="J188" s="21">
        <f t="shared" si="14"/>
        <v>127.65822082712393</v>
      </c>
    </row>
    <row r="189" spans="1:10" x14ac:dyDescent="0.25">
      <c r="A189" s="1">
        <v>45866</v>
      </c>
      <c r="B189">
        <v>214.05</v>
      </c>
      <c r="C189" t="str">
        <f t="shared" si="10"/>
        <v>Jul 2025</v>
      </c>
      <c r="D189" s="21">
        <f t="shared" si="13"/>
        <v>93.039328186939301</v>
      </c>
      <c r="E189">
        <v>3314.625</v>
      </c>
      <c r="F189" s="21">
        <f t="shared" si="11"/>
        <v>121.14923875679142</v>
      </c>
      <c r="G189">
        <v>118118</v>
      </c>
      <c r="H189" s="21">
        <f t="shared" si="12"/>
        <v>172.92376702622303</v>
      </c>
      <c r="I189">
        <v>9.8711970759595086E-4</v>
      </c>
      <c r="J189" s="21">
        <f t="shared" si="14"/>
        <v>127.78423477273901</v>
      </c>
    </row>
    <row r="190" spans="1:10" x14ac:dyDescent="0.25">
      <c r="A190" s="1">
        <v>45867</v>
      </c>
      <c r="B190">
        <v>211.27</v>
      </c>
      <c r="C190" t="str">
        <f t="shared" si="10"/>
        <v>Jul 2025</v>
      </c>
      <c r="D190" s="21">
        <f t="shared" si="13"/>
        <v>91.830968773906392</v>
      </c>
      <c r="E190">
        <v>3326.6149999999998</v>
      </c>
      <c r="F190" s="21">
        <f t="shared" si="11"/>
        <v>121.58747215353884</v>
      </c>
      <c r="G190">
        <v>117598</v>
      </c>
      <c r="H190" s="21">
        <f t="shared" si="12"/>
        <v>172.1624913624492</v>
      </c>
      <c r="I190">
        <v>-3.7700782563932387E-3</v>
      </c>
      <c r="J190" s="21">
        <f t="shared" si="14"/>
        <v>127.30247820771247</v>
      </c>
    </row>
    <row r="191" spans="1:10" x14ac:dyDescent="0.25">
      <c r="A191" s="1">
        <v>45868</v>
      </c>
      <c r="B191">
        <v>209.05</v>
      </c>
      <c r="C191" t="str">
        <f t="shared" si="10"/>
        <v>Jul 2025</v>
      </c>
      <c r="D191" s="21">
        <f t="shared" si="13"/>
        <v>90.866019890117542</v>
      </c>
      <c r="E191">
        <v>3275.52</v>
      </c>
      <c r="F191" s="21">
        <f t="shared" si="11"/>
        <v>119.71995460501428</v>
      </c>
      <c r="G191">
        <v>117315</v>
      </c>
      <c r="H191" s="21">
        <f t="shared" si="12"/>
        <v>171.74818172235692</v>
      </c>
      <c r="I191">
        <v>-1.0018098121015962E-2</v>
      </c>
      <c r="J191" s="21">
        <f t="shared" si="14"/>
        <v>126.02714948997911</v>
      </c>
    </row>
    <row r="192" spans="1:10" x14ac:dyDescent="0.25">
      <c r="A192" s="1">
        <v>45869</v>
      </c>
      <c r="B192">
        <v>207.57</v>
      </c>
      <c r="C192" t="str">
        <f t="shared" si="10"/>
        <v>Jul 2025</v>
      </c>
      <c r="D192" s="21">
        <f t="shared" si="13"/>
        <v>90.222720634258295</v>
      </c>
      <c r="E192">
        <v>3289.9850000000001</v>
      </c>
      <c r="F192" s="21">
        <f t="shared" si="11"/>
        <v>120.24864902402608</v>
      </c>
      <c r="G192">
        <v>116545</v>
      </c>
      <c r="H192" s="21">
        <f t="shared" si="12"/>
        <v>170.62090814330725</v>
      </c>
      <c r="I192">
        <v>-2.3265143857711832E-3</v>
      </c>
      <c r="J192" s="21">
        <f t="shared" si="14"/>
        <v>125.73394551369294</v>
      </c>
    </row>
    <row r="193" spans="1:10" x14ac:dyDescent="0.25">
      <c r="A193" s="1">
        <v>45870</v>
      </c>
      <c r="B193">
        <v>202.38</v>
      </c>
      <c r="C193" t="str">
        <f t="shared" si="10"/>
        <v>Aug 2025</v>
      </c>
      <c r="D193" s="21">
        <f t="shared" si="13"/>
        <v>87.966826622157313</v>
      </c>
      <c r="E193">
        <v>3357.0949999999998</v>
      </c>
      <c r="F193" s="21">
        <f t="shared" si="11"/>
        <v>122.70151334894013</v>
      </c>
      <c r="G193">
        <v>113290</v>
      </c>
      <c r="H193" s="21">
        <f t="shared" si="12"/>
        <v>165.85561528641534</v>
      </c>
      <c r="I193">
        <v>-7.720514081054417E-3</v>
      </c>
      <c r="J193" s="21">
        <f t="shared" si="14"/>
        <v>124.76321481688794</v>
      </c>
    </row>
    <row r="194" spans="1:10" x14ac:dyDescent="0.25">
      <c r="A194" s="1">
        <v>45873</v>
      </c>
      <c r="B194">
        <v>203.35</v>
      </c>
      <c r="C194" t="str">
        <f t="shared" si="10"/>
        <v>Aug 2025</v>
      </c>
      <c r="D194" s="21">
        <f t="shared" si="13"/>
        <v>88.388448431740727</v>
      </c>
      <c r="E194">
        <v>3373.7049999999999</v>
      </c>
      <c r="F194" s="21">
        <f t="shared" si="11"/>
        <v>123.30860732058106</v>
      </c>
      <c r="G194">
        <v>115105</v>
      </c>
      <c r="H194" s="21">
        <f t="shared" si="12"/>
        <v>168.51276015131819</v>
      </c>
      <c r="I194">
        <v>8.2232306101725373E-3</v>
      </c>
      <c r="J194" s="21">
        <f t="shared" si="14"/>
        <v>125.78917150399371</v>
      </c>
    </row>
    <row r="195" spans="1:10" x14ac:dyDescent="0.25">
      <c r="A195" s="1">
        <v>45874</v>
      </c>
      <c r="B195">
        <v>202.92</v>
      </c>
      <c r="C195" t="str">
        <f t="shared" ref="C195:C251" si="15">TEXT(A195, "mmm yyyy")</f>
        <v>Aug 2025</v>
      </c>
      <c r="D195" s="21">
        <f t="shared" si="13"/>
        <v>88.201543918214071</v>
      </c>
      <c r="E195">
        <v>3380.895</v>
      </c>
      <c r="F195" s="21">
        <f t="shared" ref="F195:F251" si="16">E195/$E$2*100</f>
        <v>123.57140115899759</v>
      </c>
      <c r="G195">
        <v>113606</v>
      </c>
      <c r="H195" s="21">
        <f t="shared" ref="H195:H251" si="17">G195/$G$2*100</f>
        <v>166.31823665132407</v>
      </c>
      <c r="I195">
        <v>-3.6887666281501747E-3</v>
      </c>
      <c r="J195" s="21">
        <f t="shared" si="14"/>
        <v>125.32516460596712</v>
      </c>
    </row>
    <row r="196" spans="1:10" x14ac:dyDescent="0.25">
      <c r="A196" s="1">
        <v>45875</v>
      </c>
      <c r="B196">
        <v>213.25</v>
      </c>
      <c r="C196" t="str">
        <f t="shared" si="15"/>
        <v>Aug 2025</v>
      </c>
      <c r="D196" s="21">
        <f t="shared" ref="D196:D251" si="18">B196/$B$2*100</f>
        <v>92.691598859447808</v>
      </c>
      <c r="E196">
        <v>3369.3649999999998</v>
      </c>
      <c r="F196" s="21">
        <f t="shared" si="16"/>
        <v>123.14998071992352</v>
      </c>
      <c r="G196">
        <v>115083</v>
      </c>
      <c r="H196" s="21">
        <f t="shared" si="17"/>
        <v>168.48055233477393</v>
      </c>
      <c r="I196">
        <v>1.7808214723714386E-2</v>
      </c>
      <c r="J196" s="21">
        <f t="shared" ref="J196:J251" si="19">J195 * (1 + I196)</f>
        <v>127.55698204755504</v>
      </c>
    </row>
    <row r="197" spans="1:10" x14ac:dyDescent="0.25">
      <c r="A197" s="1">
        <v>45876</v>
      </c>
      <c r="B197">
        <v>220.03</v>
      </c>
      <c r="C197" t="str">
        <f t="shared" si="15"/>
        <v>Aug 2025</v>
      </c>
      <c r="D197" s="21">
        <f t="shared" si="18"/>
        <v>95.63860490993811</v>
      </c>
      <c r="E197">
        <v>3397.78</v>
      </c>
      <c r="F197" s="21">
        <f t="shared" si="16"/>
        <v>124.18854635533457</v>
      </c>
      <c r="G197">
        <v>117152</v>
      </c>
      <c r="H197" s="21">
        <f t="shared" si="17"/>
        <v>171.50955108159704</v>
      </c>
      <c r="I197">
        <v>1.8304935351302731E-2</v>
      </c>
      <c r="J197" s="21">
        <f t="shared" si="19"/>
        <v>129.89190435754281</v>
      </c>
    </row>
    <row r="198" spans="1:10" x14ac:dyDescent="0.25">
      <c r="A198" s="1">
        <v>45877</v>
      </c>
      <c r="B198">
        <v>229.35</v>
      </c>
      <c r="C198" t="str">
        <f t="shared" si="15"/>
        <v>Aug 2025</v>
      </c>
      <c r="D198" s="21">
        <f t="shared" si="18"/>
        <v>99.689651575213858</v>
      </c>
      <c r="E198">
        <v>3398.5050000000001</v>
      </c>
      <c r="F198" s="21">
        <f t="shared" si="16"/>
        <v>124.21504503862411</v>
      </c>
      <c r="G198">
        <v>116483</v>
      </c>
      <c r="H198" s="21">
        <f t="shared" si="17"/>
        <v>170.53014066031881</v>
      </c>
      <c r="I198">
        <v>1.1079548960651341E-2</v>
      </c>
      <c r="J198" s="21">
        <f t="shared" si="19"/>
        <v>131.33104807146447</v>
      </c>
    </row>
    <row r="199" spans="1:10" x14ac:dyDescent="0.25">
      <c r="A199" s="1">
        <v>45880</v>
      </c>
      <c r="B199">
        <v>227.18</v>
      </c>
      <c r="C199" t="str">
        <f t="shared" si="15"/>
        <v>Aug 2025</v>
      </c>
      <c r="D199" s="21">
        <f t="shared" si="18"/>
        <v>98.74643577439322</v>
      </c>
      <c r="E199">
        <v>3342.625</v>
      </c>
      <c r="F199" s="21">
        <f t="shared" si="16"/>
        <v>122.17263618038841</v>
      </c>
      <c r="G199">
        <v>118724</v>
      </c>
      <c r="H199" s="21">
        <f t="shared" si="17"/>
        <v>173.81094597285175</v>
      </c>
      <c r="I199">
        <v>-3.6438084376040902E-3</v>
      </c>
      <c r="J199" s="21">
        <f t="shared" si="19"/>
        <v>130.85250289038228</v>
      </c>
    </row>
    <row r="200" spans="1:10" x14ac:dyDescent="0.25">
      <c r="A200" s="1">
        <v>45881</v>
      </c>
      <c r="B200">
        <v>229.65</v>
      </c>
      <c r="C200" t="str">
        <f t="shared" si="15"/>
        <v>Aug 2025</v>
      </c>
      <c r="D200" s="21">
        <f t="shared" si="18"/>
        <v>99.820050073023154</v>
      </c>
      <c r="E200">
        <v>3348.2049999999999</v>
      </c>
      <c r="F200" s="21">
        <f t="shared" si="16"/>
        <v>122.37658466694809</v>
      </c>
      <c r="G200">
        <v>119903</v>
      </c>
      <c r="H200" s="21">
        <f t="shared" si="17"/>
        <v>175.53699214129276</v>
      </c>
      <c r="I200">
        <v>6.9086480636983971E-3</v>
      </c>
      <c r="J200" s="21">
        <f t="shared" si="19"/>
        <v>131.756516781106</v>
      </c>
    </row>
    <row r="201" spans="1:10" x14ac:dyDescent="0.25">
      <c r="A201" s="1">
        <v>45882</v>
      </c>
      <c r="B201">
        <v>233.33</v>
      </c>
      <c r="C201" t="str">
        <f t="shared" si="15"/>
        <v>Aug 2025</v>
      </c>
      <c r="D201" s="21">
        <f t="shared" si="18"/>
        <v>101.41960497948396</v>
      </c>
      <c r="E201">
        <v>3355.9949999999999</v>
      </c>
      <c r="F201" s="21">
        <f t="shared" si="16"/>
        <v>122.66130845015597</v>
      </c>
      <c r="G201">
        <v>122579</v>
      </c>
      <c r="H201" s="21">
        <f t="shared" si="17"/>
        <v>179.45463382640574</v>
      </c>
      <c r="I201">
        <v>1.2433375519209467E-2</v>
      </c>
      <c r="J201" s="21">
        <f t="shared" si="19"/>
        <v>133.3946950313485</v>
      </c>
    </row>
    <row r="202" spans="1:10" x14ac:dyDescent="0.25">
      <c r="A202" s="1">
        <v>45883</v>
      </c>
      <c r="B202">
        <v>232.78</v>
      </c>
      <c r="C202" t="str">
        <f t="shared" si="15"/>
        <v>Aug 2025</v>
      </c>
      <c r="D202" s="21">
        <f t="shared" si="18"/>
        <v>101.18054106683358</v>
      </c>
      <c r="E202">
        <v>3335.5349999999999</v>
      </c>
      <c r="F202" s="21">
        <f t="shared" si="16"/>
        <v>121.91349733277046</v>
      </c>
      <c r="G202">
        <v>117979</v>
      </c>
      <c r="H202" s="21">
        <f t="shared" si="17"/>
        <v>172.72027218532963</v>
      </c>
      <c r="I202">
        <v>-1.4403819825890039E-2</v>
      </c>
      <c r="J202" s="21">
        <f t="shared" si="19"/>
        <v>131.47330187838742</v>
      </c>
    </row>
    <row r="203" spans="1:10" x14ac:dyDescent="0.25">
      <c r="A203" s="1">
        <v>45884</v>
      </c>
      <c r="B203">
        <v>231.59</v>
      </c>
      <c r="C203" t="str">
        <f t="shared" si="15"/>
        <v>Aug 2025</v>
      </c>
      <c r="D203" s="21">
        <f t="shared" si="18"/>
        <v>100.66329369219001</v>
      </c>
      <c r="E203">
        <v>3339.1350000000002</v>
      </c>
      <c r="F203" s="21">
        <f t="shared" si="16"/>
        <v>122.04507700151865</v>
      </c>
      <c r="G203">
        <v>116974</v>
      </c>
      <c r="H203" s="21">
        <f t="shared" si="17"/>
        <v>171.24896056592064</v>
      </c>
      <c r="I203">
        <v>-3.6574616032206686E-3</v>
      </c>
      <c r="J203" s="21">
        <f t="shared" si="19"/>
        <v>130.99244332491858</v>
      </c>
    </row>
    <row r="204" spans="1:10" x14ac:dyDescent="0.25">
      <c r="A204" s="1">
        <v>45887</v>
      </c>
      <c r="B204">
        <v>230.89</v>
      </c>
      <c r="C204" t="str">
        <f t="shared" si="15"/>
        <v>Aug 2025</v>
      </c>
      <c r="D204" s="21">
        <f t="shared" si="18"/>
        <v>100.35903053063495</v>
      </c>
      <c r="E204">
        <v>3332.915</v>
      </c>
      <c r="F204" s="21">
        <f t="shared" si="16"/>
        <v>121.81773657384818</v>
      </c>
      <c r="G204">
        <v>116719</v>
      </c>
      <c r="H204" s="21">
        <f t="shared" si="17"/>
        <v>170.87564269233923</v>
      </c>
      <c r="I204">
        <v>-2.3058695371833914E-3</v>
      </c>
      <c r="J204" s="21">
        <f t="shared" si="19"/>
        <v>130.69039184025442</v>
      </c>
    </row>
    <row r="205" spans="1:10" x14ac:dyDescent="0.25">
      <c r="A205" s="1">
        <v>45888</v>
      </c>
      <c r="B205">
        <v>230.56</v>
      </c>
      <c r="C205" t="str">
        <f t="shared" si="15"/>
        <v>Aug 2025</v>
      </c>
      <c r="D205" s="21">
        <f t="shared" si="18"/>
        <v>100.21559218304472</v>
      </c>
      <c r="E205">
        <v>3315.9</v>
      </c>
      <c r="F205" s="21">
        <f t="shared" si="16"/>
        <v>121.19583988947306</v>
      </c>
      <c r="G205">
        <v>113430</v>
      </c>
      <c r="H205" s="21">
        <f t="shared" si="17"/>
        <v>166.06057411896984</v>
      </c>
      <c r="I205">
        <v>-1.0924468397116905E-2</v>
      </c>
      <c r="J205" s="21">
        <f t="shared" si="19"/>
        <v>129.26266878478873</v>
      </c>
    </row>
    <row r="206" spans="1:10" x14ac:dyDescent="0.25">
      <c r="A206" s="1">
        <v>45889</v>
      </c>
      <c r="B206">
        <v>226.01</v>
      </c>
      <c r="C206" t="str">
        <f t="shared" si="15"/>
        <v>Aug 2025</v>
      </c>
      <c r="D206" s="21">
        <f t="shared" si="18"/>
        <v>98.237881632936919</v>
      </c>
      <c r="E206">
        <v>3348.5149999999999</v>
      </c>
      <c r="F206" s="21">
        <f t="shared" si="16"/>
        <v>122.38791513842362</v>
      </c>
      <c r="G206">
        <v>114390</v>
      </c>
      <c r="H206" s="21">
        <f t="shared" si="17"/>
        <v>167.46600611362919</v>
      </c>
      <c r="I206">
        <v>5.5301983416823457E-4</v>
      </c>
      <c r="J206" s="21">
        <f t="shared" si="19"/>
        <v>129.33415360444425</v>
      </c>
    </row>
    <row r="207" spans="1:10" x14ac:dyDescent="0.25">
      <c r="A207" s="1">
        <v>45890</v>
      </c>
      <c r="B207">
        <v>224.9</v>
      </c>
      <c r="C207" t="str">
        <f t="shared" si="15"/>
        <v>Aug 2025</v>
      </c>
      <c r="D207" s="21">
        <f t="shared" si="18"/>
        <v>97.755407191042494</v>
      </c>
      <c r="E207">
        <v>3339.0749999999998</v>
      </c>
      <c r="F207" s="21">
        <f t="shared" si="16"/>
        <v>122.0428840070395</v>
      </c>
      <c r="G207">
        <v>112619</v>
      </c>
      <c r="H207" s="21">
        <f t="shared" si="17"/>
        <v>164.87327688181489</v>
      </c>
      <c r="I207">
        <v>-7.2456869563709784E-3</v>
      </c>
      <c r="J207" s="21">
        <f t="shared" si="19"/>
        <v>128.39703881465925</v>
      </c>
    </row>
    <row r="208" spans="1:10" x14ac:dyDescent="0.25">
      <c r="A208" s="1">
        <v>45891</v>
      </c>
      <c r="B208">
        <v>227.76</v>
      </c>
      <c r="C208" t="str">
        <f t="shared" si="15"/>
        <v>Aug 2025</v>
      </c>
      <c r="D208" s="21">
        <f t="shared" si="18"/>
        <v>98.998539536824538</v>
      </c>
      <c r="E208">
        <v>3373.2350000000001</v>
      </c>
      <c r="F208" s="21">
        <f t="shared" si="16"/>
        <v>123.29142886382782</v>
      </c>
      <c r="G208">
        <v>116617</v>
      </c>
      <c r="H208" s="21">
        <f t="shared" si="17"/>
        <v>170.72631554290669</v>
      </c>
      <c r="I208">
        <v>1.855724809931969E-2</v>
      </c>
      <c r="J208" s="21">
        <f t="shared" si="19"/>
        <v>130.77973451916085</v>
      </c>
    </row>
    <row r="209" spans="1:10" x14ac:dyDescent="0.25">
      <c r="A209" s="1">
        <v>45894</v>
      </c>
      <c r="B209">
        <v>227.16</v>
      </c>
      <c r="C209" t="str">
        <f t="shared" si="15"/>
        <v>Aug 2025</v>
      </c>
      <c r="D209" s="21">
        <f t="shared" si="18"/>
        <v>98.737742541205932</v>
      </c>
      <c r="E209">
        <v>3365.7750000000001</v>
      </c>
      <c r="F209" s="21">
        <f t="shared" si="16"/>
        <v>123.01876655025521</v>
      </c>
      <c r="G209">
        <v>109899</v>
      </c>
      <c r="H209" s="21">
        <f t="shared" si="17"/>
        <v>160.89121956361339</v>
      </c>
      <c r="I209">
        <v>-1.8957130780070063E-2</v>
      </c>
      <c r="J209" s="21">
        <f t="shared" si="19"/>
        <v>128.30052598849826</v>
      </c>
    </row>
    <row r="210" spans="1:10" x14ac:dyDescent="0.25">
      <c r="A210" s="1">
        <v>45895</v>
      </c>
      <c r="B210">
        <v>229.31</v>
      </c>
      <c r="C210" t="str">
        <f t="shared" si="15"/>
        <v>Aug 2025</v>
      </c>
      <c r="D210" s="21">
        <f t="shared" si="18"/>
        <v>99.672265108839284</v>
      </c>
      <c r="E210">
        <v>3393.6849999999999</v>
      </c>
      <c r="F210" s="21">
        <f t="shared" si="16"/>
        <v>124.03887448213349</v>
      </c>
      <c r="G210">
        <v>111607</v>
      </c>
      <c r="H210" s="21">
        <f t="shared" si="17"/>
        <v>163.39171732077816</v>
      </c>
      <c r="I210">
        <v>1.0818789247942639E-2</v>
      </c>
      <c r="J210" s="21">
        <f t="shared" si="19"/>
        <v>129.688582339568</v>
      </c>
    </row>
    <row r="211" spans="1:10" x14ac:dyDescent="0.25">
      <c r="A211" s="1">
        <v>45896</v>
      </c>
      <c r="B211">
        <v>230.49</v>
      </c>
      <c r="C211" t="str">
        <f t="shared" si="15"/>
        <v>Aug 2025</v>
      </c>
      <c r="D211" s="21">
        <f t="shared" si="18"/>
        <v>100.18516586688921</v>
      </c>
      <c r="E211">
        <v>3397.4749999999999</v>
      </c>
      <c r="F211" s="21">
        <f t="shared" si="16"/>
        <v>124.17739863339894</v>
      </c>
      <c r="G211">
        <v>111549</v>
      </c>
      <c r="H211" s="21">
        <f t="shared" si="17"/>
        <v>163.30680580443416</v>
      </c>
      <c r="I211">
        <v>1.8345695752752132E-3</v>
      </c>
      <c r="J211" s="21">
        <f t="shared" si="19"/>
        <v>129.92650506698877</v>
      </c>
    </row>
    <row r="212" spans="1:10" x14ac:dyDescent="0.25">
      <c r="A212" s="1">
        <v>45897</v>
      </c>
      <c r="B212">
        <v>232.56</v>
      </c>
      <c r="C212" t="str">
        <f t="shared" si="15"/>
        <v>Aug 2025</v>
      </c>
      <c r="D212" s="21">
        <f t="shared" si="18"/>
        <v>101.08491550177344</v>
      </c>
      <c r="E212">
        <v>3416.6149999999998</v>
      </c>
      <c r="F212" s="21">
        <f t="shared" si="16"/>
        <v>124.87696387224344</v>
      </c>
      <c r="G212">
        <v>112047</v>
      </c>
      <c r="H212" s="21">
        <f t="shared" si="17"/>
        <v>164.03587365166371</v>
      </c>
      <c r="I212">
        <v>6.2870200028612103E-3</v>
      </c>
      <c r="J212" s="21">
        <f t="shared" si="19"/>
        <v>130.74335560324678</v>
      </c>
    </row>
    <row r="213" spans="1:10" x14ac:dyDescent="0.25">
      <c r="A213" s="1">
        <v>45898</v>
      </c>
      <c r="B213">
        <v>232.14</v>
      </c>
      <c r="C213" t="str">
        <f t="shared" si="15"/>
        <v>Aug 2025</v>
      </c>
      <c r="D213" s="21">
        <f t="shared" si="18"/>
        <v>100.90235760484039</v>
      </c>
      <c r="E213">
        <v>3452.355</v>
      </c>
      <c r="F213" s="21">
        <f t="shared" si="16"/>
        <v>126.18325758364904</v>
      </c>
      <c r="G213">
        <v>108198</v>
      </c>
      <c r="H213" s="21">
        <f t="shared" si="17"/>
        <v>158.40096974807634</v>
      </c>
      <c r="I213">
        <v>-6.6630340699818883E-3</v>
      </c>
      <c r="J213" s="21">
        <f t="shared" si="19"/>
        <v>129.8722081704386</v>
      </c>
    </row>
    <row r="214" spans="1:10" x14ac:dyDescent="0.25">
      <c r="A214" s="1">
        <v>45902</v>
      </c>
      <c r="B214">
        <v>229.72</v>
      </c>
      <c r="C214" t="str">
        <f t="shared" si="15"/>
        <v>Sep 2025</v>
      </c>
      <c r="D214" s="21">
        <f t="shared" si="18"/>
        <v>99.850476389178667</v>
      </c>
      <c r="E214">
        <v>3533.125</v>
      </c>
      <c r="F214" s="21">
        <f t="shared" si="16"/>
        <v>129.13539365164647</v>
      </c>
      <c r="G214">
        <v>111198</v>
      </c>
      <c r="H214" s="21">
        <f t="shared" si="17"/>
        <v>162.79294473138683</v>
      </c>
      <c r="I214">
        <v>1.454891006537894E-2</v>
      </c>
      <c r="J214" s="21">
        <f t="shared" si="19"/>
        <v>131.76170724710246</v>
      </c>
    </row>
    <row r="215" spans="1:10" x14ac:dyDescent="0.25">
      <c r="A215" s="1">
        <v>45903</v>
      </c>
      <c r="B215">
        <v>238.47</v>
      </c>
      <c r="C215" t="str">
        <f t="shared" si="15"/>
        <v>Sep 2025</v>
      </c>
      <c r="D215" s="21">
        <f t="shared" si="18"/>
        <v>103.65376590861675</v>
      </c>
      <c r="E215">
        <v>3559.605</v>
      </c>
      <c r="F215" s="21">
        <f t="shared" si="16"/>
        <v>130.10323521510534</v>
      </c>
      <c r="G215">
        <v>112034</v>
      </c>
      <c r="H215" s="21">
        <f t="shared" si="17"/>
        <v>164.01684176006935</v>
      </c>
      <c r="I215">
        <v>1.6680303414994734E-2</v>
      </c>
      <c r="J215" s="21">
        <f t="shared" si="19"/>
        <v>133.95953250246185</v>
      </c>
    </row>
    <row r="216" spans="1:10" x14ac:dyDescent="0.25">
      <c r="A216" s="1">
        <v>45904</v>
      </c>
      <c r="B216">
        <v>239.78</v>
      </c>
      <c r="C216" t="str">
        <f t="shared" si="15"/>
        <v>Sep 2025</v>
      </c>
      <c r="D216" s="21">
        <f t="shared" si="18"/>
        <v>104.22317268238403</v>
      </c>
      <c r="E216">
        <v>3545.9549999999999</v>
      </c>
      <c r="F216" s="21">
        <f t="shared" si="16"/>
        <v>129.60432897110181</v>
      </c>
      <c r="G216">
        <v>110522</v>
      </c>
      <c r="H216" s="21">
        <f t="shared" si="17"/>
        <v>161.80328636848088</v>
      </c>
      <c r="I216">
        <v>-3.9346429270303183E-3</v>
      </c>
      <c r="J216" s="21">
        <f t="shared" si="19"/>
        <v>133.43244957539275</v>
      </c>
    </row>
    <row r="217" spans="1:10" x14ac:dyDescent="0.25">
      <c r="A217" s="1">
        <v>45905</v>
      </c>
      <c r="B217">
        <v>239.69</v>
      </c>
      <c r="C217" t="str">
        <f t="shared" si="15"/>
        <v>Sep 2025</v>
      </c>
      <c r="D217" s="21">
        <f t="shared" si="18"/>
        <v>104.18405313304125</v>
      </c>
      <c r="E217">
        <v>3594.6849999999999</v>
      </c>
      <c r="F217" s="21">
        <f t="shared" si="16"/>
        <v>131.38540598724043</v>
      </c>
      <c r="G217">
        <v>111683</v>
      </c>
      <c r="H217" s="21">
        <f t="shared" si="17"/>
        <v>163.50298068702202</v>
      </c>
      <c r="I217">
        <v>8.5357732212913325E-3</v>
      </c>
      <c r="J217" s="21">
        <f t="shared" si="19"/>
        <v>134.5713987053297</v>
      </c>
    </row>
    <row r="218" spans="1:10" x14ac:dyDescent="0.25">
      <c r="A218" s="1">
        <v>45908</v>
      </c>
      <c r="B218">
        <v>237.88</v>
      </c>
      <c r="C218" t="str">
        <f t="shared" si="15"/>
        <v>Sep 2025</v>
      </c>
      <c r="D218" s="21">
        <f t="shared" si="18"/>
        <v>103.39731552959176</v>
      </c>
      <c r="E218">
        <v>3636.02</v>
      </c>
      <c r="F218" s="21">
        <f t="shared" si="16"/>
        <v>132.89619643382545</v>
      </c>
      <c r="G218">
        <v>112348</v>
      </c>
      <c r="H218" s="21">
        <f t="shared" si="17"/>
        <v>164.47653514165586</v>
      </c>
      <c r="I218">
        <v>4.1204482377890216E-3</v>
      </c>
      <c r="J218" s="21">
        <f t="shared" si="19"/>
        <v>135.12589318798189</v>
      </c>
    </row>
    <row r="219" spans="1:10" x14ac:dyDescent="0.25">
      <c r="A219" s="1">
        <v>45909</v>
      </c>
      <c r="B219">
        <v>234.35</v>
      </c>
      <c r="C219" t="str">
        <f t="shared" si="15"/>
        <v>Sep 2025</v>
      </c>
      <c r="D219" s="21">
        <f t="shared" si="18"/>
        <v>101.86295987203562</v>
      </c>
      <c r="E219">
        <v>3626.01</v>
      </c>
      <c r="F219" s="21">
        <f t="shared" si="16"/>
        <v>132.53033185488957</v>
      </c>
      <c r="G219">
        <v>111322</v>
      </c>
      <c r="H219" s="21">
        <f t="shared" si="17"/>
        <v>162.97447969736365</v>
      </c>
      <c r="I219">
        <v>-8.2927301544149287E-3</v>
      </c>
      <c r="J219" s="21">
        <f t="shared" si="19"/>
        <v>134.00533061889968</v>
      </c>
    </row>
    <row r="220" spans="1:10" x14ac:dyDescent="0.25">
      <c r="A220" s="1">
        <v>45910</v>
      </c>
      <c r="B220">
        <v>226.79</v>
      </c>
      <c r="C220" t="str">
        <f t="shared" si="15"/>
        <v>Sep 2025</v>
      </c>
      <c r="D220" s="21">
        <f t="shared" si="18"/>
        <v>98.576917727241124</v>
      </c>
      <c r="E220">
        <v>3640.7049999999999</v>
      </c>
      <c r="F220" s="21">
        <f t="shared" si="16"/>
        <v>133.06743275273806</v>
      </c>
      <c r="G220">
        <v>113879</v>
      </c>
      <c r="H220" s="21">
        <f t="shared" si="17"/>
        <v>166.7179063748053</v>
      </c>
      <c r="I220">
        <v>-1.1659455018205988E-3</v>
      </c>
      <c r="J220" s="21">
        <f t="shared" si="19"/>
        <v>133.84908770644458</v>
      </c>
    </row>
    <row r="221" spans="1:10" x14ac:dyDescent="0.25">
      <c r="A221" s="1">
        <v>45911</v>
      </c>
      <c r="B221">
        <v>230.03</v>
      </c>
      <c r="C221" t="str">
        <f t="shared" si="15"/>
        <v>Sep 2025</v>
      </c>
      <c r="D221" s="21">
        <f t="shared" si="18"/>
        <v>99.985221503581613</v>
      </c>
      <c r="E221">
        <v>3634.0349999999999</v>
      </c>
      <c r="F221" s="21">
        <f t="shared" si="16"/>
        <v>132.82364486647404</v>
      </c>
      <c r="G221">
        <v>114539</v>
      </c>
      <c r="H221" s="21">
        <f t="shared" si="17"/>
        <v>167.68414087113362</v>
      </c>
      <c r="I221">
        <v>5.2917657144195161E-3</v>
      </c>
      <c r="J221" s="21">
        <f t="shared" si="19"/>
        <v>134.55738571967589</v>
      </c>
    </row>
    <row r="222" spans="1:10" x14ac:dyDescent="0.25">
      <c r="A222" s="1">
        <v>45912</v>
      </c>
      <c r="B222">
        <v>234.07</v>
      </c>
      <c r="C222" t="str">
        <f t="shared" si="15"/>
        <v>Sep 2025</v>
      </c>
      <c r="D222" s="21">
        <f t="shared" si="18"/>
        <v>101.74125460741359</v>
      </c>
      <c r="E222">
        <v>3644.1849999999999</v>
      </c>
      <c r="F222" s="21">
        <f t="shared" si="16"/>
        <v>133.19462643252794</v>
      </c>
      <c r="G222">
        <v>116612</v>
      </c>
      <c r="H222" s="21">
        <f t="shared" si="17"/>
        <v>170.71899558460117</v>
      </c>
      <c r="I222">
        <v>1.181568507674069E-2</v>
      </c>
      <c r="J222" s="21">
        <f t="shared" si="19"/>
        <v>136.14727341408909</v>
      </c>
    </row>
    <row r="223" spans="1:10" x14ac:dyDescent="0.25">
      <c r="A223" s="1">
        <v>45915</v>
      </c>
      <c r="B223">
        <v>236.7</v>
      </c>
      <c r="C223" t="str">
        <f t="shared" si="15"/>
        <v>Sep 2025</v>
      </c>
      <c r="D223" s="21">
        <f t="shared" si="18"/>
        <v>102.88441477154183</v>
      </c>
      <c r="E223">
        <v>3679.2449999999999</v>
      </c>
      <c r="F223" s="21">
        <f t="shared" si="16"/>
        <v>134.47606620650333</v>
      </c>
      <c r="G223">
        <v>115562</v>
      </c>
      <c r="H223" s="21">
        <f t="shared" si="17"/>
        <v>169.18180434044251</v>
      </c>
      <c r="I223">
        <v>4.5178435197382408E-3</v>
      </c>
      <c r="J223" s="21">
        <f t="shared" si="19"/>
        <v>136.76236549101296</v>
      </c>
    </row>
    <row r="224" spans="1:10" x14ac:dyDescent="0.25">
      <c r="A224" s="1">
        <v>45916</v>
      </c>
      <c r="B224">
        <v>238.15</v>
      </c>
      <c r="C224" t="str">
        <f t="shared" si="15"/>
        <v>Sep 2025</v>
      </c>
      <c r="D224" s="21">
        <f t="shared" si="18"/>
        <v>103.51467417762015</v>
      </c>
      <c r="E224">
        <v>3689.8049999999998</v>
      </c>
      <c r="F224" s="21">
        <f t="shared" si="16"/>
        <v>134.86203323483133</v>
      </c>
      <c r="G224">
        <v>116847</v>
      </c>
      <c r="H224" s="21">
        <f t="shared" si="17"/>
        <v>171.0630336249605</v>
      </c>
      <c r="I224">
        <v>6.3217026083493E-3</v>
      </c>
      <c r="J224" s="21">
        <f t="shared" si="19"/>
        <v>137.6269364936615</v>
      </c>
    </row>
    <row r="225" spans="1:10" x14ac:dyDescent="0.25">
      <c r="A225" s="1">
        <v>45917</v>
      </c>
      <c r="B225">
        <v>238.99</v>
      </c>
      <c r="C225" t="str">
        <f t="shared" si="15"/>
        <v>Sep 2025</v>
      </c>
      <c r="D225" s="21">
        <f t="shared" si="18"/>
        <v>103.87978997148619</v>
      </c>
      <c r="E225">
        <v>3659.65</v>
      </c>
      <c r="F225" s="21">
        <f t="shared" si="16"/>
        <v>133.75987075952537</v>
      </c>
      <c r="G225">
        <v>116096</v>
      </c>
      <c r="H225" s="21">
        <f t="shared" si="17"/>
        <v>169.96357588747176</v>
      </c>
      <c r="I225">
        <v>-4.1390132856656599E-3</v>
      </c>
      <c r="J225" s="21">
        <f t="shared" si="19"/>
        <v>137.05729677504877</v>
      </c>
    </row>
    <row r="226" spans="1:10" x14ac:dyDescent="0.25">
      <c r="A226" s="1">
        <v>45918</v>
      </c>
      <c r="B226">
        <v>237.88</v>
      </c>
      <c r="C226" t="str">
        <f t="shared" si="15"/>
        <v>Sep 2025</v>
      </c>
      <c r="D226" s="21">
        <f t="shared" si="18"/>
        <v>103.39731552959176</v>
      </c>
      <c r="E226">
        <v>3644.4749999999999</v>
      </c>
      <c r="F226" s="21">
        <f t="shared" si="16"/>
        <v>133.20522590584378</v>
      </c>
      <c r="G226">
        <v>117357</v>
      </c>
      <c r="H226" s="21">
        <f t="shared" si="17"/>
        <v>171.80966937212327</v>
      </c>
      <c r="I226">
        <v>2.0651790201211564E-4</v>
      </c>
      <c r="J226" s="21">
        <f t="shared" si="19"/>
        <v>137.08560156043421</v>
      </c>
    </row>
    <row r="227" spans="1:10" x14ac:dyDescent="0.25">
      <c r="A227" s="1">
        <v>45919</v>
      </c>
      <c r="B227">
        <v>245.5</v>
      </c>
      <c r="C227" t="str">
        <f t="shared" si="15"/>
        <v>Sep 2025</v>
      </c>
      <c r="D227" s="21">
        <f t="shared" si="18"/>
        <v>106.70943737394811</v>
      </c>
      <c r="E227">
        <v>3684.4450000000002</v>
      </c>
      <c r="F227" s="21">
        <f t="shared" si="16"/>
        <v>134.66612572802848</v>
      </c>
      <c r="G227">
        <v>115210</v>
      </c>
      <c r="H227" s="21">
        <f t="shared" si="17"/>
        <v>168.66647927573405</v>
      </c>
      <c r="I227">
        <v>8.5084201722865575E-3</v>
      </c>
      <c r="J227" s="21">
        <f t="shared" si="19"/>
        <v>138.25198345808104</v>
      </c>
    </row>
    <row r="228" spans="1:10" x14ac:dyDescent="0.25">
      <c r="A228" s="1">
        <v>45922</v>
      </c>
      <c r="B228">
        <v>256.08</v>
      </c>
      <c r="C228" t="str">
        <f t="shared" si="15"/>
        <v>Sep 2025</v>
      </c>
      <c r="D228" s="21">
        <f t="shared" si="18"/>
        <v>111.30815773002294</v>
      </c>
      <c r="E228">
        <v>3746.5</v>
      </c>
      <c r="F228" s="21">
        <f t="shared" si="16"/>
        <v>136.93423026807528</v>
      </c>
      <c r="G228">
        <v>113049</v>
      </c>
      <c r="H228" s="21">
        <f t="shared" si="17"/>
        <v>165.50279329608938</v>
      </c>
      <c r="I228">
        <v>1.4038572442416797E-2</v>
      </c>
      <c r="J228" s="21">
        <f t="shared" si="19"/>
        <v>140.19284394316512</v>
      </c>
    </row>
    <row r="229" spans="1:10" x14ac:dyDescent="0.25">
      <c r="A229" s="1">
        <v>45923</v>
      </c>
      <c r="B229">
        <v>254.43</v>
      </c>
      <c r="C229" t="str">
        <f t="shared" si="15"/>
        <v>Sep 2025</v>
      </c>
      <c r="D229" s="21">
        <f t="shared" si="18"/>
        <v>110.59096599207179</v>
      </c>
      <c r="E229">
        <v>3764.68</v>
      </c>
      <c r="F229" s="21">
        <f t="shared" si="16"/>
        <v>137.59870759525361</v>
      </c>
      <c r="G229">
        <v>112217</v>
      </c>
      <c r="H229" s="21">
        <f t="shared" si="17"/>
        <v>164.28475223405127</v>
      </c>
      <c r="I229">
        <v>-2.1998702328450245E-3</v>
      </c>
      <c r="J229" s="21">
        <f t="shared" si="19"/>
        <v>139.88443787891666</v>
      </c>
    </row>
    <row r="230" spans="1:10" x14ac:dyDescent="0.25">
      <c r="A230" s="1">
        <v>45924</v>
      </c>
      <c r="B230">
        <v>252.31</v>
      </c>
      <c r="C230" t="str">
        <f t="shared" si="15"/>
        <v>Sep 2025</v>
      </c>
      <c r="D230" s="21">
        <f t="shared" si="18"/>
        <v>109.66948327421935</v>
      </c>
      <c r="E230">
        <v>3736.1350000000002</v>
      </c>
      <c r="F230" s="21">
        <f t="shared" si="16"/>
        <v>136.55539047180449</v>
      </c>
      <c r="G230">
        <v>113407</v>
      </c>
      <c r="H230" s="21">
        <f t="shared" si="17"/>
        <v>166.02690231076446</v>
      </c>
      <c r="I230">
        <v>-2.351296163626726E-3</v>
      </c>
      <c r="J230" s="21">
        <f t="shared" si="19"/>
        <v>139.55552813678088</v>
      </c>
    </row>
    <row r="231" spans="1:10" x14ac:dyDescent="0.25">
      <c r="A231" s="1">
        <v>45925</v>
      </c>
      <c r="B231">
        <v>256.87</v>
      </c>
      <c r="C231" t="str">
        <f t="shared" si="15"/>
        <v>Sep 2025</v>
      </c>
      <c r="D231" s="21">
        <f t="shared" si="18"/>
        <v>111.65154044092078</v>
      </c>
      <c r="E231">
        <v>3749.375</v>
      </c>
      <c r="F231" s="21">
        <f t="shared" si="16"/>
        <v>137.0393112535339</v>
      </c>
      <c r="G231">
        <v>109467</v>
      </c>
      <c r="H231" s="21">
        <f t="shared" si="17"/>
        <v>160.25877516601668</v>
      </c>
      <c r="I231">
        <v>-3.5832277566677281E-3</v>
      </c>
      <c r="J231" s="21">
        <f t="shared" si="19"/>
        <v>139.05546889476474</v>
      </c>
    </row>
    <row r="232" spans="1:10" x14ac:dyDescent="0.25">
      <c r="A232" s="1">
        <v>45926</v>
      </c>
      <c r="B232">
        <v>255.46</v>
      </c>
      <c r="C232" t="str">
        <f t="shared" si="15"/>
        <v>Sep 2025</v>
      </c>
      <c r="D232" s="21">
        <f t="shared" si="18"/>
        <v>111.03866750121708</v>
      </c>
      <c r="E232">
        <v>3766.7150000000001</v>
      </c>
      <c r="F232" s="21">
        <f t="shared" si="16"/>
        <v>137.67308665800434</v>
      </c>
      <c r="G232">
        <v>109223</v>
      </c>
      <c r="H232" s="21">
        <f t="shared" si="17"/>
        <v>159.90156120070742</v>
      </c>
      <c r="I232">
        <v>-4.6553373899868014E-4</v>
      </c>
      <c r="J232" s="21">
        <f t="shared" si="19"/>
        <v>138.99073388240194</v>
      </c>
    </row>
    <row r="233" spans="1:10" x14ac:dyDescent="0.25">
      <c r="A233" s="1">
        <v>45929</v>
      </c>
      <c r="B233">
        <v>254.43</v>
      </c>
      <c r="C233" t="str">
        <f t="shared" si="15"/>
        <v>Sep 2025</v>
      </c>
      <c r="D233" s="21">
        <f t="shared" si="18"/>
        <v>110.59096599207179</v>
      </c>
      <c r="E233">
        <v>3833.46</v>
      </c>
      <c r="F233" s="21">
        <f t="shared" si="16"/>
        <v>140.11261026650365</v>
      </c>
      <c r="G233">
        <v>114268</v>
      </c>
      <c r="H233" s="21">
        <f t="shared" si="17"/>
        <v>167.28739913097456</v>
      </c>
      <c r="I233">
        <v>1.9735262454630587E-2</v>
      </c>
      <c r="J233" s="21">
        <f t="shared" si="19"/>
        <v>141.73375249433286</v>
      </c>
    </row>
    <row r="234" spans="1:10" x14ac:dyDescent="0.25">
      <c r="A234" s="1">
        <v>45930</v>
      </c>
      <c r="B234">
        <v>254.63</v>
      </c>
      <c r="C234" t="str">
        <f t="shared" si="15"/>
        <v>Sep 2025</v>
      </c>
      <c r="D234" s="21">
        <f t="shared" si="18"/>
        <v>110.67789832394463</v>
      </c>
      <c r="E234">
        <v>3858.72</v>
      </c>
      <c r="F234" s="21">
        <f t="shared" si="16"/>
        <v>141.03586094222007</v>
      </c>
      <c r="G234">
        <v>114232</v>
      </c>
      <c r="H234" s="21">
        <f t="shared" si="17"/>
        <v>167.23469543117483</v>
      </c>
      <c r="I234">
        <v>2.7770455906961037E-3</v>
      </c>
      <c r="J234" s="21">
        <f t="shared" si="19"/>
        <v>142.12735358675008</v>
      </c>
    </row>
    <row r="235" spans="1:10" x14ac:dyDescent="0.25">
      <c r="A235" s="1">
        <v>45931</v>
      </c>
      <c r="B235">
        <v>255.45</v>
      </c>
      <c r="C235" t="str">
        <f t="shared" si="15"/>
        <v>Oct 2025</v>
      </c>
      <c r="D235" s="21">
        <f t="shared" si="18"/>
        <v>111.03432088462341</v>
      </c>
      <c r="E235">
        <v>3865.7449999999999</v>
      </c>
      <c r="F235" s="21">
        <f t="shared" si="16"/>
        <v>141.29262404581894</v>
      </c>
      <c r="G235">
        <v>117637</v>
      </c>
      <c r="H235" s="21">
        <f t="shared" si="17"/>
        <v>172.21958703723226</v>
      </c>
      <c r="I235">
        <v>1.0636656336914064E-2</v>
      </c>
      <c r="J235" s="21">
        <f t="shared" si="19"/>
        <v>143.63911340292739</v>
      </c>
    </row>
    <row r="236" spans="1:10" x14ac:dyDescent="0.25">
      <c r="A236" s="1">
        <v>45932</v>
      </c>
      <c r="B236">
        <v>257.13</v>
      </c>
      <c r="C236" t="str">
        <f t="shared" si="15"/>
        <v>Oct 2025</v>
      </c>
      <c r="D236" s="21">
        <f t="shared" si="18"/>
        <v>111.76455247235553</v>
      </c>
      <c r="E236">
        <v>3856.605</v>
      </c>
      <c r="F236" s="21">
        <f t="shared" si="16"/>
        <v>140.9585578868305</v>
      </c>
      <c r="G236">
        <v>120246</v>
      </c>
      <c r="H236" s="21">
        <f t="shared" si="17"/>
        <v>176.03914128105126</v>
      </c>
      <c r="I236">
        <v>7.6807650485227526E-3</v>
      </c>
      <c r="J236" s="21">
        <f t="shared" si="19"/>
        <v>144.74237168475338</v>
      </c>
    </row>
    <row r="237" spans="1:10" x14ac:dyDescent="0.25">
      <c r="A237" s="1">
        <v>45933</v>
      </c>
      <c r="B237">
        <v>258.02</v>
      </c>
      <c r="C237" t="str">
        <f t="shared" si="15"/>
        <v>Oct 2025</v>
      </c>
      <c r="D237" s="21">
        <f t="shared" si="18"/>
        <v>112.1514013491898</v>
      </c>
      <c r="E237">
        <v>3885.9250000000002</v>
      </c>
      <c r="F237" s="21">
        <f t="shared" si="16"/>
        <v>142.0302011889685</v>
      </c>
      <c r="G237">
        <v>122679</v>
      </c>
      <c r="H237" s="21">
        <f t="shared" si="17"/>
        <v>179.60103299251608</v>
      </c>
      <c r="I237">
        <v>1.0149458282477153E-2</v>
      </c>
      <c r="J237" s="21">
        <f t="shared" si="19"/>
        <v>146.21142834787457</v>
      </c>
    </row>
    <row r="238" spans="1:10" x14ac:dyDescent="0.25">
      <c r="A238" s="1">
        <v>45936</v>
      </c>
      <c r="B238">
        <v>256.69</v>
      </c>
      <c r="C238" t="str">
        <f t="shared" si="15"/>
        <v>Oct 2025</v>
      </c>
      <c r="D238" s="21">
        <f t="shared" si="18"/>
        <v>111.5733013422352</v>
      </c>
      <c r="E238">
        <v>3960.0549999999998</v>
      </c>
      <c r="F238" s="21">
        <f t="shared" si="16"/>
        <v>144.73964586794153</v>
      </c>
      <c r="G238">
        <v>125173</v>
      </c>
      <c r="H238" s="21">
        <f t="shared" si="17"/>
        <v>183.25222819530822</v>
      </c>
      <c r="I238">
        <v>1.2183067189430519E-2</v>
      </c>
      <c r="J238" s="21">
        <f t="shared" si="19"/>
        <v>147.99273200329932</v>
      </c>
    </row>
    <row r="239" spans="1:10" x14ac:dyDescent="0.25">
      <c r="A239" s="1">
        <v>45937</v>
      </c>
      <c r="B239">
        <v>256.48</v>
      </c>
      <c r="C239" t="str">
        <f t="shared" si="15"/>
        <v>Oct 2025</v>
      </c>
      <c r="D239" s="21">
        <f t="shared" si="18"/>
        <v>111.4820223937687</v>
      </c>
      <c r="E239">
        <v>3984.8449999999998</v>
      </c>
      <c r="F239" s="21">
        <f t="shared" si="16"/>
        <v>145.64571808690471</v>
      </c>
      <c r="G239">
        <v>122101</v>
      </c>
      <c r="H239" s="21">
        <f t="shared" si="17"/>
        <v>178.75484581239826</v>
      </c>
      <c r="I239">
        <v>-5.1040367548045975E-3</v>
      </c>
      <c r="J239" s="21">
        <f t="shared" si="19"/>
        <v>147.23737165971053</v>
      </c>
    </row>
    <row r="240" spans="1:10" x14ac:dyDescent="0.25">
      <c r="A240" s="1">
        <v>45938</v>
      </c>
      <c r="B240">
        <v>258.06</v>
      </c>
      <c r="C240" t="str">
        <f t="shared" si="15"/>
        <v>Oct 2025</v>
      </c>
      <c r="D240" s="21">
        <f t="shared" si="18"/>
        <v>112.16878781556436</v>
      </c>
      <c r="E240">
        <v>4041.01</v>
      </c>
      <c r="F240" s="21">
        <f t="shared" si="16"/>
        <v>147.6985436689163</v>
      </c>
      <c r="G240">
        <v>123322</v>
      </c>
      <c r="H240" s="21">
        <f t="shared" si="17"/>
        <v>180.54237963060564</v>
      </c>
      <c r="I240">
        <v>1.0485933191462604E-2</v>
      </c>
      <c r="J240" s="21">
        <f t="shared" si="19"/>
        <v>148.7812929022208</v>
      </c>
    </row>
    <row r="241" spans="1:10" x14ac:dyDescent="0.25">
      <c r="A241" s="1">
        <v>45939</v>
      </c>
      <c r="B241">
        <v>254.04</v>
      </c>
      <c r="C241" t="str">
        <f t="shared" si="15"/>
        <v>Oct 2025</v>
      </c>
      <c r="D241" s="21">
        <f t="shared" si="18"/>
        <v>110.42144794491968</v>
      </c>
      <c r="E241">
        <v>3977.06</v>
      </c>
      <c r="F241" s="21">
        <f t="shared" si="16"/>
        <v>145.36117705323676</v>
      </c>
      <c r="G241">
        <v>121534</v>
      </c>
      <c r="H241" s="21">
        <f t="shared" si="17"/>
        <v>177.92476254055259</v>
      </c>
      <c r="I241">
        <v>-1.5353021307602731E-2</v>
      </c>
      <c r="J241" s="21">
        <f t="shared" si="19"/>
        <v>146.49705054212032</v>
      </c>
    </row>
    <row r="242" spans="1:10" x14ac:dyDescent="0.25">
      <c r="A242" s="1">
        <v>45940</v>
      </c>
      <c r="B242">
        <v>245.27</v>
      </c>
      <c r="C242" t="str">
        <f t="shared" si="15"/>
        <v>Oct 2025</v>
      </c>
      <c r="D242" s="21">
        <f t="shared" si="18"/>
        <v>106.60946519229432</v>
      </c>
      <c r="E242">
        <v>4010.6750000000002</v>
      </c>
      <c r="F242" s="21">
        <f t="shared" si="16"/>
        <v>146.58980221017293</v>
      </c>
      <c r="G242">
        <v>116781</v>
      </c>
      <c r="H242" s="21">
        <f t="shared" si="17"/>
        <v>170.96641017532767</v>
      </c>
      <c r="I242">
        <v>-1.8708266644417069E-2</v>
      </c>
      <c r="J242" s="21">
        <f t="shared" si="19"/>
        <v>143.7563446579577</v>
      </c>
    </row>
    <row r="243" spans="1:10" x14ac:dyDescent="0.25">
      <c r="A243" s="1">
        <v>45943</v>
      </c>
      <c r="B243">
        <v>247.66</v>
      </c>
      <c r="C243" t="str">
        <f t="shared" si="15"/>
        <v>Oct 2025</v>
      </c>
      <c r="D243" s="21">
        <f t="shared" si="18"/>
        <v>107.64830655817512</v>
      </c>
      <c r="E243">
        <v>4110.2299999999996</v>
      </c>
      <c r="F243" s="21">
        <f t="shared" si="16"/>
        <v>150.22852829967999</v>
      </c>
      <c r="G243">
        <v>115804</v>
      </c>
      <c r="H243" s="21">
        <f t="shared" si="17"/>
        <v>169.53609032242954</v>
      </c>
      <c r="I243">
        <v>1.0342484897654948E-2</v>
      </c>
      <c r="J243" s="21">
        <f t="shared" si="19"/>
        <v>145.2431424815247</v>
      </c>
    </row>
    <row r="244" spans="1:10" x14ac:dyDescent="0.25">
      <c r="A244" s="1">
        <v>45944</v>
      </c>
      <c r="B244">
        <v>247.77</v>
      </c>
      <c r="C244" t="str">
        <f t="shared" si="15"/>
        <v>Oct 2025</v>
      </c>
      <c r="D244" s="21">
        <f t="shared" si="18"/>
        <v>107.6961193407052</v>
      </c>
      <c r="E244">
        <v>4141.9799999999996</v>
      </c>
      <c r="F244" s="21">
        <f t="shared" si="16"/>
        <v>151.38898787822299</v>
      </c>
      <c r="G244">
        <v>113196</v>
      </c>
      <c r="H244" s="21">
        <f t="shared" si="17"/>
        <v>165.71800007027161</v>
      </c>
      <c r="I244">
        <v>-3.5331446944174665E-3</v>
      </c>
      <c r="J244" s="21">
        <f t="shared" si="19"/>
        <v>144.72997744326557</v>
      </c>
    </row>
    <row r="245" spans="1:10" x14ac:dyDescent="0.25">
      <c r="A245" s="1">
        <v>45945</v>
      </c>
      <c r="B245">
        <v>249.34</v>
      </c>
      <c r="C245" t="str">
        <f t="shared" si="15"/>
        <v>Oct 2025</v>
      </c>
      <c r="D245" s="21">
        <f t="shared" si="18"/>
        <v>108.37853814590723</v>
      </c>
      <c r="E245">
        <v>4208.05</v>
      </c>
      <c r="F245" s="21">
        <f t="shared" si="16"/>
        <v>153.80384029883206</v>
      </c>
      <c r="G245">
        <v>110886</v>
      </c>
      <c r="H245" s="21">
        <f t="shared" si="17"/>
        <v>162.33617933312254</v>
      </c>
      <c r="I245">
        <v>2.1593554001668406E-3</v>
      </c>
      <c r="J245" s="21">
        <f t="shared" si="19"/>
        <v>145.04250090162373</v>
      </c>
    </row>
    <row r="246" spans="1:10" x14ac:dyDescent="0.25">
      <c r="A246" s="1">
        <v>45946</v>
      </c>
      <c r="B246">
        <v>247.45</v>
      </c>
      <c r="C246" t="str">
        <f t="shared" si="15"/>
        <v>Oct 2025</v>
      </c>
      <c r="D246" s="21">
        <f t="shared" si="18"/>
        <v>107.5570276097086</v>
      </c>
      <c r="E246">
        <v>4328.08</v>
      </c>
      <c r="F246" s="21">
        <f t="shared" si="16"/>
        <v>158.19092575434442</v>
      </c>
      <c r="G246">
        <v>108487</v>
      </c>
      <c r="H246" s="21">
        <f t="shared" si="17"/>
        <v>158.82406333813523</v>
      </c>
      <c r="I246">
        <v>2.6451072277337349E-3</v>
      </c>
      <c r="J246" s="21">
        <f t="shared" si="19"/>
        <v>145.42615386908719</v>
      </c>
    </row>
    <row r="247" spans="1:10" x14ac:dyDescent="0.25">
      <c r="A247" s="1">
        <v>45947</v>
      </c>
      <c r="B247">
        <v>252.29</v>
      </c>
      <c r="C247" t="str">
        <f t="shared" si="15"/>
        <v>Oct 2025</v>
      </c>
      <c r="D247" s="21">
        <f t="shared" si="18"/>
        <v>109.66079004103206</v>
      </c>
      <c r="E247">
        <v>4225.3850000000002</v>
      </c>
      <c r="F247" s="21">
        <f t="shared" si="16"/>
        <v>154.43743295376254</v>
      </c>
      <c r="G247">
        <v>106480</v>
      </c>
      <c r="H247" s="21">
        <f t="shared" si="17"/>
        <v>155.88583207430051</v>
      </c>
      <c r="I247">
        <v>-9.1731661660672918E-3</v>
      </c>
      <c r="J247" s="21">
        <f t="shared" si="19"/>
        <v>144.09213559475398</v>
      </c>
    </row>
    <row r="248" spans="1:10" x14ac:dyDescent="0.25">
      <c r="A248" s="1">
        <v>45950</v>
      </c>
      <c r="B248">
        <v>262.24</v>
      </c>
      <c r="C248" t="str">
        <f t="shared" si="15"/>
        <v>Oct 2025</v>
      </c>
      <c r="D248" s="21">
        <f t="shared" si="18"/>
        <v>113.98567355170736</v>
      </c>
      <c r="E248">
        <v>4356.07</v>
      </c>
      <c r="F248" s="21">
        <f t="shared" si="16"/>
        <v>159.21395767886153</v>
      </c>
      <c r="G248">
        <v>110607</v>
      </c>
      <c r="H248" s="21">
        <f t="shared" si="17"/>
        <v>161.92772565967465</v>
      </c>
      <c r="I248">
        <v>3.5830575069295031E-2</v>
      </c>
      <c r="J248" s="21">
        <f t="shared" si="19"/>
        <v>149.25503967607688</v>
      </c>
    </row>
    <row r="249" spans="1:10" x14ac:dyDescent="0.25">
      <c r="A249" s="1">
        <v>45951</v>
      </c>
      <c r="B249">
        <v>262.77</v>
      </c>
      <c r="C249" t="str">
        <f t="shared" si="15"/>
        <v>Oct 2025</v>
      </c>
      <c r="D249" s="21">
        <f t="shared" si="18"/>
        <v>114.21604423117044</v>
      </c>
      <c r="E249">
        <v>4124.82</v>
      </c>
      <c r="F249" s="21">
        <f t="shared" si="16"/>
        <v>150.76179145718999</v>
      </c>
      <c r="G249">
        <v>110931</v>
      </c>
      <c r="H249" s="21">
        <f t="shared" si="17"/>
        <v>162.40205895787219</v>
      </c>
      <c r="I249">
        <v>-1.9749634932533566E-2</v>
      </c>
      <c r="J249" s="21">
        <f t="shared" si="19"/>
        <v>146.30730713063355</v>
      </c>
    </row>
    <row r="250" spans="1:10" x14ac:dyDescent="0.25">
      <c r="A250" s="1">
        <v>45952</v>
      </c>
      <c r="B250">
        <v>258.45</v>
      </c>
      <c r="C250" t="str">
        <f t="shared" si="15"/>
        <v>Oct 2025</v>
      </c>
      <c r="D250" s="21">
        <f t="shared" si="18"/>
        <v>112.33830586271647</v>
      </c>
      <c r="E250">
        <v>4098.34</v>
      </c>
      <c r="F250" s="21">
        <f t="shared" si="16"/>
        <v>149.79394989373114</v>
      </c>
      <c r="G250">
        <v>107231</v>
      </c>
      <c r="H250" s="21">
        <f t="shared" si="17"/>
        <v>156.98528981178924</v>
      </c>
      <c r="I250">
        <v>-1.7506159581994408E-2</v>
      </c>
      <c r="J250" s="21">
        <f t="shared" si="19"/>
        <v>143.74602806399281</v>
      </c>
    </row>
    <row r="251" spans="1:10" x14ac:dyDescent="0.25">
      <c r="A251" s="1">
        <v>45953</v>
      </c>
      <c r="B251">
        <v>259.58</v>
      </c>
      <c r="C251" t="str">
        <f t="shared" si="15"/>
        <v>Oct 2025</v>
      </c>
      <c r="D251" s="21">
        <f t="shared" si="18"/>
        <v>112.82947353779818</v>
      </c>
      <c r="E251">
        <v>4126.67</v>
      </c>
      <c r="F251" s="21">
        <f t="shared" si="16"/>
        <v>150.82940878696337</v>
      </c>
      <c r="G251">
        <v>109591</v>
      </c>
      <c r="H251" s="21">
        <f t="shared" si="17"/>
        <v>160.4403101319935</v>
      </c>
      <c r="I251">
        <v>1.0679255922227848E-2</v>
      </c>
      <c r="J251" s="21">
        <f t="shared" si="19"/>
        <v>145.28112868549195</v>
      </c>
    </row>
    <row r="252" spans="1:10" x14ac:dyDescent="0.25">
      <c r="A252" s="1">
        <v>45954</v>
      </c>
      <c r="B252">
        <v>261.3</v>
      </c>
      <c r="E252">
        <v>4120.8450000000003</v>
      </c>
      <c r="G252">
        <v>110010</v>
      </c>
    </row>
  </sheetData>
  <sortState xmlns:xlrd2="http://schemas.microsoft.com/office/spreadsheetml/2017/richdata2" ref="AB3:AE5">
    <sortCondition ref="AC3:AC5"/>
  </sortState>
  <mergeCells count="1">
    <mergeCell ref="AB1:AC1"/>
  </mergeCells>
  <conditionalFormatting sqref="AF2:AF5">
    <cfRule type="containsText" dxfId="5" priority="1" operator="containsText" text="Not Reliable">
      <formula>NOT(ISERROR(SEARCH("Not Reliable",AF2)))</formula>
    </cfRule>
    <cfRule type="containsText" dxfId="4" priority="2" operator="containsText" text="Reliable">
      <formula>NOT(ISERROR(SEARCH("Reliable",AF2)))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403B-62C1-44B0-9DDB-3207FF98D105}">
  <dimension ref="A1:K251"/>
  <sheetViews>
    <sheetView workbookViewId="0">
      <selection activeCell="I16" sqref="I16"/>
    </sheetView>
  </sheetViews>
  <sheetFormatPr defaultRowHeight="15" x14ac:dyDescent="0.25"/>
  <cols>
    <col min="1" max="1" width="10.85546875" bestFit="1" customWidth="1"/>
    <col min="2" max="2" width="11.85546875" bestFit="1" customWidth="1"/>
    <col min="3" max="3" width="12.140625" bestFit="1" customWidth="1"/>
    <col min="4" max="4" width="15.28515625" customWidth="1"/>
    <col min="5" max="5" width="11.140625" style="4" bestFit="1" customWidth="1"/>
    <col min="6" max="7" width="11.140625" customWidth="1"/>
    <col min="8" max="8" width="18.42578125" customWidth="1"/>
    <col min="9" max="9" width="11.42578125" customWidth="1"/>
    <col min="10" max="10" width="12.7109375" bestFit="1" customWidth="1"/>
  </cols>
  <sheetData>
    <row r="1" spans="1:11" x14ac:dyDescent="0.25">
      <c r="A1" s="5" t="s">
        <v>66</v>
      </c>
      <c r="B1" s="3" t="s">
        <v>67</v>
      </c>
      <c r="C1" s="3" t="s">
        <v>1</v>
      </c>
      <c r="D1" s="3" t="s">
        <v>7</v>
      </c>
      <c r="E1" s="5" t="s">
        <v>8</v>
      </c>
      <c r="F1" s="6" t="s">
        <v>9</v>
      </c>
      <c r="G1" s="6"/>
      <c r="H1" s="3" t="s">
        <v>6</v>
      </c>
      <c r="I1" s="3" t="s">
        <v>3</v>
      </c>
      <c r="J1" s="3" t="s">
        <v>4</v>
      </c>
      <c r="K1" s="3" t="s">
        <v>5</v>
      </c>
    </row>
    <row r="2" spans="1:11" x14ac:dyDescent="0.25">
      <c r="A2" s="4"/>
      <c r="H2" s="7" t="s">
        <v>2</v>
      </c>
      <c r="I2" s="7">
        <v>0.3</v>
      </c>
      <c r="J2" s="7">
        <v>0.4</v>
      </c>
      <c r="K2" s="7">
        <v>0.3</v>
      </c>
    </row>
    <row r="3" spans="1:11" x14ac:dyDescent="0.25">
      <c r="A3" s="4">
        <f>IFERROR(Merged_data[[#This Row],[BTCUSD_Close]]/Merged_data!D2-1,"")</f>
        <v>-2.2252673248773225E-2</v>
      </c>
      <c r="B3" s="4">
        <f>IFERROR(Merged_data[[#This Row],[XAUUSD_Close]]/Merged_data!C2-1, "")</f>
        <v>2.3940189730571326E-3</v>
      </c>
      <c r="C3" s="4">
        <f>IFERROR(Merged_data[[#This Row],[AAPL_Close]]/Merged_data!B2-1,"")</f>
        <v>3.6424647054731363E-3</v>
      </c>
      <c r="D3" s="4">
        <f>SUMPRODUCT(A3:C3,$I$2:$K$2)</f>
        <v>-4.6254549737671739E-3</v>
      </c>
      <c r="E3" s="4" cm="1">
        <f t="array" ref="E3:E251">_xlfn._xlws.SORT(D3:D251)</f>
        <v>-4.6119972635968232E-2</v>
      </c>
      <c r="F3">
        <v>1</v>
      </c>
      <c r="H3" t="s">
        <v>16</v>
      </c>
      <c r="I3" s="12">
        <v>300000</v>
      </c>
      <c r="J3" s="12">
        <v>400000</v>
      </c>
      <c r="K3" s="12">
        <v>300000</v>
      </c>
    </row>
    <row r="4" spans="1:11" x14ac:dyDescent="0.25">
      <c r="A4" s="4">
        <f>IFERROR(Merged_data[[#This Row],[BTCUSD_Close]]/Merged_data!D3-1,"")</f>
        <v>4.6813423092126438E-2</v>
      </c>
      <c r="B4" s="4">
        <f>IFERROR(Merged_data[[#This Row],[XAUUSD_Close]]/Merged_data!C3-1, "")</f>
        <v>-1.130341089539133E-4</v>
      </c>
      <c r="C4" s="4">
        <f>IFERROR(Merged_data[[#This Row],[AAPL_Close]]/Merged_data!B3-1,"")</f>
        <v>8.596720686698367E-3</v>
      </c>
      <c r="D4" s="4">
        <f t="shared" ref="D4:D67" si="0">SUMPRODUCT(A4:C4,$I$2:$K$2)</f>
        <v>1.6577829490065876E-2</v>
      </c>
      <c r="E4" s="4">
        <v>-3.7838508589000203E-2</v>
      </c>
      <c r="F4">
        <v>2</v>
      </c>
      <c r="I4" s="11"/>
    </row>
    <row r="5" spans="1:11" x14ac:dyDescent="0.25">
      <c r="A5" s="4">
        <f>IFERROR(Merged_data[[#This Row],[BTCUSD_Close]]/Merged_data!D4-1,"")</f>
        <v>3.8675265938045822E-2</v>
      </c>
      <c r="B5" s="4">
        <f>IFERROR(Merged_data[[#This Row],[XAUUSD_Close]]/Merged_data!C4-1, "")</f>
        <v>1.1835279745462168E-2</v>
      </c>
      <c r="C5" s="4">
        <f>IFERROR(Merged_data[[#This Row],[AAPL_Close]]/Merged_data!B4-1,"")</f>
        <v>1.1593605482487224E-3</v>
      </c>
      <c r="D5" s="4">
        <f t="shared" si="0"/>
        <v>1.668449984407323E-2</v>
      </c>
      <c r="E5" s="4">
        <v>-3.5246478567367026E-2</v>
      </c>
      <c r="F5">
        <v>3</v>
      </c>
    </row>
    <row r="6" spans="1:11" x14ac:dyDescent="0.25">
      <c r="A6" s="4">
        <f>IFERROR(Merged_data[[#This Row],[BTCUSD_Close]]/Merged_data!D5-1,"")</f>
        <v>-3.3353163455288604E-3</v>
      </c>
      <c r="B6" s="4">
        <f>IFERROR(Merged_data[[#This Row],[XAUUSD_Close]]/Merged_data!C5-1, "")</f>
        <v>4.6527887900587039E-3</v>
      </c>
      <c r="C6" s="4">
        <f>IFERROR(Merged_data[[#This Row],[AAPL_Close]]/Merged_data!B5-1,"")</f>
        <v>-1.5277259528986953E-2</v>
      </c>
      <c r="D6" s="4">
        <f t="shared" si="0"/>
        <v>-3.7226572463312617E-3</v>
      </c>
      <c r="E6" s="4">
        <v>-2.9480611261293928E-2</v>
      </c>
      <c r="F6">
        <v>4</v>
      </c>
      <c r="H6" s="9" t="s">
        <v>14</v>
      </c>
      <c r="I6" s="17">
        <f>'Kupeic Test'!K5</f>
        <v>1000000</v>
      </c>
    </row>
    <row r="7" spans="1:11" x14ac:dyDescent="0.25">
      <c r="A7" s="4">
        <f>IFERROR(Merged_data[[#This Row],[BTCUSD_Close]]/Merged_data!D6-1,"")</f>
        <v>-2.7671310100505053E-2</v>
      </c>
      <c r="B7" s="4">
        <f>IFERROR(Merged_data[[#This Row],[XAUUSD_Close]]/Merged_data!C6-1, "")</f>
        <v>-1.4846157433482055E-2</v>
      </c>
      <c r="C7" s="4">
        <f>IFERROR(Merged_data[[#This Row],[AAPL_Close]]/Merged_data!B6-1,"")</f>
        <v>-1.8210326879940841E-2</v>
      </c>
      <c r="D7" s="4">
        <f t="shared" si="0"/>
        <v>-1.970295406752659E-2</v>
      </c>
      <c r="E7" s="4">
        <v>-2.7108902343761253E-2</v>
      </c>
      <c r="F7">
        <v>5</v>
      </c>
    </row>
    <row r="8" spans="1:11" x14ac:dyDescent="0.25">
      <c r="A8" s="4">
        <f>IFERROR(Merged_data[[#This Row],[BTCUSD_Close]]/Merged_data!D7-1,"")</f>
        <v>-1.6758109415832001E-2</v>
      </c>
      <c r="B8" s="4">
        <f>IFERROR(Merged_data[[#This Row],[XAUUSD_Close]]/Merged_data!C7-1, "")</f>
        <v>-3.5285057015044252E-3</v>
      </c>
      <c r="C8" s="4">
        <f>IFERROR(Merged_data[[#This Row],[AAPL_Close]]/Merged_data!B7-1,"")</f>
        <v>-1.3282227368308974E-2</v>
      </c>
      <c r="D8" s="4">
        <f t="shared" si="0"/>
        <v>-1.0423503315844063E-2</v>
      </c>
      <c r="E8" s="4">
        <v>-2.3243006840956239E-2</v>
      </c>
      <c r="F8">
        <v>6</v>
      </c>
    </row>
    <row r="9" spans="1:11" x14ac:dyDescent="0.25">
      <c r="A9" s="4">
        <f>IFERROR(Merged_data[[#This Row],[BTCUSD_Close]]/Merged_data!D8-1,"")</f>
        <v>-1.8892193673890167E-2</v>
      </c>
      <c r="B9" s="4">
        <f>IFERROR(Merged_data[[#This Row],[XAUUSD_Close]]/Merged_data!C8-1, "")</f>
        <v>6.2122809485920527E-5</v>
      </c>
      <c r="C9" s="4">
        <f>IFERROR(Merged_data[[#This Row],[AAPL_Close]]/Merged_data!B8-1,"")</f>
        <v>-4.0374067080298781E-3</v>
      </c>
      <c r="D9" s="4">
        <f t="shared" si="0"/>
        <v>-6.8540309907816448E-3</v>
      </c>
      <c r="E9" s="4">
        <v>-2.313717350714296E-2</v>
      </c>
      <c r="F9">
        <v>7</v>
      </c>
    </row>
    <row r="10" spans="1:11" x14ac:dyDescent="0.25">
      <c r="A10" s="4">
        <f>IFERROR(Merged_data[[#This Row],[BTCUSD_Close]]/Merged_data!D9-1,"")</f>
        <v>2.5051041902971916E-2</v>
      </c>
      <c r="B10" s="4">
        <f>IFERROR(Merged_data[[#This Row],[XAUUSD_Close]]/Merged_data!C9-1, "")</f>
        <v>2.6711148707285748E-3</v>
      </c>
      <c r="C10" s="4">
        <f>IFERROR(Merged_data[[#This Row],[AAPL_Close]]/Merged_data!B9-1,"")</f>
        <v>6.4869403490399602E-3</v>
      </c>
      <c r="D10" s="4">
        <f t="shared" si="0"/>
        <v>1.0529840623894992E-2</v>
      </c>
      <c r="E10" s="4">
        <v>-2.2584544275885132E-2</v>
      </c>
      <c r="F10">
        <v>8</v>
      </c>
      <c r="H10" s="3" t="s">
        <v>10</v>
      </c>
      <c r="I10" s="3"/>
      <c r="J10" s="3"/>
      <c r="K10" s="3"/>
    </row>
    <row r="11" spans="1:11" x14ac:dyDescent="0.25">
      <c r="A11" s="4">
        <f>IFERROR(Merged_data[[#This Row],[BTCUSD_Close]]/Merged_data!D10-1,"")</f>
        <v>8.7634006840456413E-2</v>
      </c>
      <c r="B11" s="4">
        <f>IFERROR(Merged_data[[#This Row],[XAUUSD_Close]]/Merged_data!C10-1, "")</f>
        <v>-3.0954866900267719E-2</v>
      </c>
      <c r="C11" s="4">
        <f>IFERROR(Merged_data[[#This Row],[AAPL_Close]]/Merged_data!B10-1,"")</f>
        <v>-3.265174314560082E-3</v>
      </c>
      <c r="D11" s="4">
        <f t="shared" si="0"/>
        <v>1.2928702997661809E-2</v>
      </c>
      <c r="E11" s="4">
        <v>-1.9749634932533566E-2</v>
      </c>
      <c r="F11">
        <v>9</v>
      </c>
      <c r="H11" t="s">
        <v>12</v>
      </c>
      <c r="I11">
        <f>COUNT(F3:F251)</f>
        <v>249</v>
      </c>
      <c r="J11">
        <f>COUNT(F3:F251)</f>
        <v>249</v>
      </c>
    </row>
    <row r="12" spans="1:11" x14ac:dyDescent="0.25">
      <c r="A12" s="4">
        <f>IFERROR(Merged_data[[#This Row],[BTCUSD_Close]]/Merged_data!D11-1,"")</f>
        <v>2.9609918067334817E-3</v>
      </c>
      <c r="B12" s="4">
        <f>IFERROR(Merged_data[[#This Row],[XAUUSD_Close]]/Merged_data!C11-1, "")</f>
        <v>1.7846565791230562E-2</v>
      </c>
      <c r="C12" s="4">
        <f>IFERROR(Merged_data[[#This Row],[AAPL_Close]]/Merged_data!B11-1,"")</f>
        <v>2.1369655898592077E-2</v>
      </c>
      <c r="D12" s="4">
        <f t="shared" si="0"/>
        <v>1.4437820628089893E-2</v>
      </c>
      <c r="E12" s="4">
        <v>-1.970295406752659E-2</v>
      </c>
      <c r="F12">
        <v>10</v>
      </c>
      <c r="H12" t="s">
        <v>76</v>
      </c>
      <c r="I12" s="2">
        <v>0.99</v>
      </c>
      <c r="J12" s="2">
        <v>0.95</v>
      </c>
    </row>
    <row r="13" spans="1:11" x14ac:dyDescent="0.25">
      <c r="A13" s="4">
        <f>IFERROR(Merged_data[[#This Row],[BTCUSD_Close]]/Merged_data!D12-1,"")</f>
        <v>1.0137244724548911E-2</v>
      </c>
      <c r="B13" s="4">
        <f>IFERROR(Merged_data[[#This Row],[XAUUSD_Close]]/Merged_data!C12-1, "")</f>
        <v>-7.8846928332059196E-3</v>
      </c>
      <c r="C13" s="4">
        <f>IFERROR(Merged_data[[#This Row],[AAPL_Close]]/Merged_data!B12-1,"")</f>
        <v>-1.1851264428582864E-3</v>
      </c>
      <c r="D13" s="4">
        <f t="shared" si="0"/>
        <v>-4.6824164877518087E-4</v>
      </c>
      <c r="E13" s="4">
        <v>-1.8957130780070063E-2</v>
      </c>
      <c r="F13">
        <v>11</v>
      </c>
      <c r="H13" t="s">
        <v>11</v>
      </c>
      <c r="I13" s="2">
        <v>0.01</v>
      </c>
      <c r="J13" s="2">
        <v>0.05</v>
      </c>
    </row>
    <row r="14" spans="1:11" x14ac:dyDescent="0.25">
      <c r="A14" s="4">
        <f>IFERROR(Merged_data[[#This Row],[BTCUSD_Close]]/Merged_data!D13-1,"")</f>
        <v>0.14953500170192902</v>
      </c>
      <c r="B14" s="4">
        <f>IFERROR(Merged_data[[#This Row],[XAUUSD_Close]]/Merged_data!C13-1, "")</f>
        <v>-2.4441655463155021E-2</v>
      </c>
      <c r="C14" s="4">
        <f>IFERROR(Merged_data[[#This Row],[AAPL_Close]]/Merged_data!B13-1,"")</f>
        <v>-1.2028529714041225E-2</v>
      </c>
      <c r="D14" s="4">
        <f t="shared" si="0"/>
        <v>3.1475279411104326E-2</v>
      </c>
      <c r="E14" s="4">
        <v>-1.8708266644417069E-2</v>
      </c>
      <c r="F14">
        <v>12</v>
      </c>
      <c r="H14" t="s">
        <v>13</v>
      </c>
      <c r="I14" s="4">
        <f>_xlfn.PERCENTILE.INC(D3:D250,0.01)</f>
        <v>-3.2536520933512669E-2</v>
      </c>
      <c r="J14" s="4">
        <f>_xlfn.PERCENTILE.INC(D3:D250,0.05)</f>
        <v>-1.7449262297023965E-2</v>
      </c>
    </row>
    <row r="15" spans="1:11" x14ac:dyDescent="0.25">
      <c r="A15" s="4">
        <f>IFERROR(Merged_data[[#This Row],[BTCUSD_Close]]/Merged_data!D14-1,"")</f>
        <v>5.6112915613935055E-3</v>
      </c>
      <c r="B15" s="4">
        <f>IFERROR(Merged_data[[#This Row],[XAUUSD_Close]]/Merged_data!C14-1, "")</f>
        <v>-8.1178374829168343E-3</v>
      </c>
      <c r="C15" s="4">
        <f>IFERROR(Merged_data[[#This Row],[AAPL_Close]]/Merged_data!B14-1,"")</f>
        <v>0</v>
      </c>
      <c r="D15" s="4">
        <f t="shared" si="0"/>
        <v>-1.5637475247486821E-3</v>
      </c>
      <c r="E15" s="4">
        <v>-1.7506159581994408E-2</v>
      </c>
      <c r="F15">
        <v>13</v>
      </c>
      <c r="H15" t="s">
        <v>14</v>
      </c>
      <c r="I15" s="8">
        <f>I6</f>
        <v>1000000</v>
      </c>
      <c r="J15" s="8">
        <f>I6</f>
        <v>1000000</v>
      </c>
    </row>
    <row r="16" spans="1:11" x14ac:dyDescent="0.25">
      <c r="A16" s="4">
        <f>IFERROR(Merged_data[[#This Row],[BTCUSD_Close]]/Merged_data!D15-1,"")</f>
        <v>1.2937973765291044E-2</v>
      </c>
      <c r="B16" s="4">
        <f>IFERROR(Merged_data[[#This Row],[XAUUSD_Close]]/Merged_data!C15-1, "")</f>
        <v>-9.7526243373007304E-3</v>
      </c>
      <c r="C16" s="4">
        <f>IFERROR(Merged_data[[#This Row],[AAPL_Close]]/Merged_data!B15-1,"")</f>
        <v>3.9690335023929713E-3</v>
      </c>
      <c r="D16" s="4">
        <f t="shared" si="0"/>
        <v>1.171052445384912E-3</v>
      </c>
      <c r="E16" s="4">
        <v>-1.7343595910650288E-2</v>
      </c>
      <c r="F16">
        <v>14</v>
      </c>
      <c r="H16" s="9" t="s">
        <v>15</v>
      </c>
      <c r="I16" s="10">
        <f>ABS(I15*I14)</f>
        <v>32536.520933512671</v>
      </c>
      <c r="J16" s="10">
        <f>ABS(J15*J14)</f>
        <v>17449.262297023964</v>
      </c>
      <c r="K16" s="9"/>
    </row>
    <row r="17" spans="1:9" x14ac:dyDescent="0.25">
      <c r="A17" s="4">
        <f>IFERROR(Merged_data[[#This Row],[BTCUSD_Close]]/Merged_data!D16-1,"")</f>
        <v>-2.3017182138239001E-2</v>
      </c>
      <c r="B17" s="4">
        <f>IFERROR(Merged_data[[#This Row],[XAUUSD_Close]]/Merged_data!C16-1, "")</f>
        <v>-3.0645935478353925E-3</v>
      </c>
      <c r="C17" s="4">
        <f>IFERROR(Merged_data[[#This Row],[AAPL_Close]]/Merged_data!B16-1,"")</f>
        <v>1.3767771141933505E-2</v>
      </c>
      <c r="D17" s="4">
        <f t="shared" si="0"/>
        <v>-4.000660718025806E-3</v>
      </c>
      <c r="E17" s="4">
        <v>-1.6383094485853976E-2</v>
      </c>
      <c r="F17">
        <v>15</v>
      </c>
      <c r="I17" s="4"/>
    </row>
    <row r="18" spans="1:9" x14ac:dyDescent="0.25">
      <c r="A18" s="4">
        <f>IFERROR(Merged_data[[#This Row],[BTCUSD_Close]]/Merged_data!D17-1,"")</f>
        <v>4.06390898157174E-2</v>
      </c>
      <c r="B18" s="4">
        <f>IFERROR(Merged_data[[#This Row],[XAUUSD_Close]]/Merged_data!C17-1, "")</f>
        <v>-1.0604081791778519E-3</v>
      </c>
      <c r="C18" s="4">
        <f>IFERROR(Merged_data[[#This Row],[AAPL_Close]]/Merged_data!B17-1,"")</f>
        <v>-1.4107181239554567E-2</v>
      </c>
      <c r="D18" s="4">
        <f t="shared" si="0"/>
        <v>7.5354093011777085E-3</v>
      </c>
      <c r="E18" s="4">
        <v>-1.5938732920684793E-2</v>
      </c>
      <c r="F18">
        <v>16</v>
      </c>
    </row>
    <row r="19" spans="1:9" x14ac:dyDescent="0.25">
      <c r="A19" s="4">
        <f>IFERROR(Merged_data[[#This Row],[BTCUSD_Close]]/Merged_data!D18-1,"")</f>
        <v>-4.8311136867318361E-4</v>
      </c>
      <c r="B19" s="4">
        <f>IFERROR(Merged_data[[#This Row],[XAUUSD_Close]]/Merged_data!C18-1, "")</f>
        <v>1.9333965570398792E-2</v>
      </c>
      <c r="C19" s="4">
        <f>IFERROR(Merged_data[[#This Row],[AAPL_Close]]/Merged_data!B18-1,"")</f>
        <v>1.3423625046161902E-2</v>
      </c>
      <c r="D19" s="4">
        <f t="shared" si="0"/>
        <v>1.1615740331406133E-2</v>
      </c>
      <c r="E19" s="4">
        <v>-1.5353021307602731E-2</v>
      </c>
      <c r="F19">
        <v>17</v>
      </c>
    </row>
    <row r="20" spans="1:9" x14ac:dyDescent="0.25">
      <c r="A20" s="4">
        <f>IFERROR(Merged_data[[#This Row],[BTCUSD_Close]]/Merged_data!D19-1,"")</f>
        <v>7.703925505703868E-3</v>
      </c>
      <c r="B20" s="4">
        <f>IFERROR(Merged_data[[#This Row],[XAUUSD_Close]]/Merged_data!C19-1, "")</f>
        <v>7.8085815909674228E-3</v>
      </c>
      <c r="C20" s="4">
        <f>IFERROR(Merged_data[[#This Row],[AAPL_Close]]/Merged_data!B19-1,"")</f>
        <v>1.137111998946283E-3</v>
      </c>
      <c r="D20" s="4">
        <f t="shared" si="0"/>
        <v>5.7757438877820144E-3</v>
      </c>
      <c r="E20" s="4">
        <v>-1.5209475882004031E-2</v>
      </c>
      <c r="F20">
        <v>18</v>
      </c>
    </row>
    <row r="21" spans="1:9" x14ac:dyDescent="0.25">
      <c r="A21" s="4">
        <f>IFERROR(Merged_data[[#This Row],[BTCUSD_Close]]/Merged_data!D20-1,"")</f>
        <v>2.4838458116575479E-2</v>
      </c>
      <c r="B21" s="4">
        <f>IFERROR(Merged_data[[#This Row],[XAUUSD_Close]]/Merged_data!C20-1, "")</f>
        <v>6.8382172767560423E-3</v>
      </c>
      <c r="C21" s="4">
        <f>IFERROR(Merged_data[[#This Row],[AAPL_Close]]/Merged_data!B20-1,"")</f>
        <v>3.1531077187549883E-3</v>
      </c>
      <c r="D21" s="4">
        <f t="shared" si="0"/>
        <v>1.1132756661301558E-2</v>
      </c>
      <c r="E21" s="4">
        <v>-1.4822566061462749E-2</v>
      </c>
      <c r="F21">
        <v>19</v>
      </c>
    </row>
    <row r="22" spans="1:9" x14ac:dyDescent="0.25">
      <c r="A22" s="4">
        <f>IFERROR(Merged_data[[#This Row],[BTCUSD_Close]]/Merged_data!D21-1,"")</f>
        <v>4.4587575801956714E-2</v>
      </c>
      <c r="B22" s="4">
        <f>IFERROR(Merged_data[[#This Row],[XAUUSD_Close]]/Merged_data!C21-1, "")</f>
        <v>7.3200227147096619E-3</v>
      </c>
      <c r="C22" s="4">
        <f>IFERROR(Merged_data[[#This Row],[AAPL_Close]]/Merged_data!B21-1,"")</f>
        <v>-2.094007379299434E-3</v>
      </c>
      <c r="D22" s="4">
        <f t="shared" si="0"/>
        <v>1.5676079612681047E-2</v>
      </c>
      <c r="E22" s="4">
        <v>-1.4403819825890039E-2</v>
      </c>
      <c r="F22">
        <v>20</v>
      </c>
    </row>
    <row r="23" spans="1:9" x14ac:dyDescent="0.25">
      <c r="A23" s="4">
        <f>IFERROR(Merged_data[[#This Row],[BTCUSD_Close]]/Merged_data!D22-1,"")</f>
        <v>7.7468502069044654E-3</v>
      </c>
      <c r="B23" s="4">
        <f>IFERROR(Merged_data[[#This Row],[XAUUSD_Close]]/Merged_data!C22-1, "")</f>
        <v>1.3591592952673759E-2</v>
      </c>
      <c r="C23" s="4">
        <f>IFERROR(Merged_data[[#This Row],[AAPL_Close]]/Merged_data!B22-1,"")</f>
        <v>5.9096942642233863E-3</v>
      </c>
      <c r="D23" s="4">
        <f t="shared" si="0"/>
        <v>9.5336005224078597E-3</v>
      </c>
      <c r="E23" s="4">
        <v>-1.368364560739096E-2</v>
      </c>
      <c r="F23">
        <v>21</v>
      </c>
    </row>
    <row r="24" spans="1:9" x14ac:dyDescent="0.25">
      <c r="A24" s="4">
        <f>IFERROR(Merged_data[[#This Row],[BTCUSD_Close]]/Merged_data!D23-1,"")</f>
        <v>-4.8555493721116005E-2</v>
      </c>
      <c r="B24" s="4">
        <f>IFERROR(Merged_data[[#This Row],[XAUUSD_Close]]/Merged_data!C23-1, "")</f>
        <v>-2.9830558583861411E-2</v>
      </c>
      <c r="C24" s="4">
        <f>IFERROR(Merged_data[[#This Row],[AAPL_Close]]/Merged_data!B23-1,"")</f>
        <v>1.3047757579980779E-2</v>
      </c>
      <c r="D24" s="4">
        <f t="shared" si="0"/>
        <v>-2.2584544275885132E-2</v>
      </c>
      <c r="E24" s="4">
        <v>-1.1879172334080292E-2</v>
      </c>
      <c r="F24">
        <v>22</v>
      </c>
    </row>
    <row r="25" spans="1:9" x14ac:dyDescent="0.25">
      <c r="A25" s="4">
        <f>IFERROR(Merged_data[[#This Row],[BTCUSD_Close]]/Merged_data!D24-1,"")</f>
        <v>-2.7746165762810304E-2</v>
      </c>
      <c r="B25" s="4">
        <f>IFERROR(Merged_data[[#This Row],[XAUUSD_Close]]/Merged_data!C24-1, "")</f>
        <v>3.0454474465093639E-3</v>
      </c>
      <c r="C25" s="4">
        <f>IFERROR(Merged_data[[#This Row],[AAPL_Close]]/Merged_data!B24-1,"")</f>
        <v>9.4061406450169915E-3</v>
      </c>
      <c r="D25" s="4">
        <f t="shared" si="0"/>
        <v>-4.2838285567342489E-3</v>
      </c>
      <c r="E25" s="4">
        <v>-1.1549906748216241E-2</v>
      </c>
      <c r="F25">
        <v>23</v>
      </c>
    </row>
    <row r="26" spans="1:9" x14ac:dyDescent="0.25">
      <c r="A26" s="4">
        <f>IFERROR(Merged_data[[#This Row],[BTCUSD_Close]]/Merged_data!D25-1,"")</f>
        <v>4.7709713595677217E-2</v>
      </c>
      <c r="B26" s="4">
        <f>IFERROR(Merged_data[[#This Row],[XAUUSD_Close]]/Merged_data!C25-1, "")</f>
        <v>1.0329538873434796E-3</v>
      </c>
      <c r="C26" s="4">
        <f>IFERROR(Merged_data[[#This Row],[AAPL_Close]]/Merged_data!B25-1,"")</f>
        <v>-5.5365797565609665E-4</v>
      </c>
      <c r="D26" s="4">
        <f t="shared" si="0"/>
        <v>1.4559998240943728E-2</v>
      </c>
      <c r="E26" s="4">
        <v>-1.1440874046207659E-2</v>
      </c>
      <c r="F26">
        <v>24</v>
      </c>
    </row>
    <row r="27" spans="1:9" x14ac:dyDescent="0.25">
      <c r="A27" s="4">
        <f>IFERROR(Merged_data[[#This Row],[BTCUSD_Close]]/Merged_data!D26-1,"")</f>
        <v>1.2912386549814192E-2</v>
      </c>
      <c r="B27" s="4">
        <f>IFERROR(Merged_data[[#This Row],[XAUUSD_Close]]/Merged_data!C26-1, "")</f>
        <v>5.504667206637448E-3</v>
      </c>
      <c r="C27" s="4">
        <f>IFERROR(Merged_data[[#This Row],[AAPL_Close]]/Merged_data!B26-1,"")</f>
        <v>1.0214256494170515E-2</v>
      </c>
      <c r="D27" s="4">
        <f t="shared" si="0"/>
        <v>9.139859795850391E-3</v>
      </c>
      <c r="E27" s="4">
        <v>-1.1044559898013562E-2</v>
      </c>
      <c r="F27">
        <v>25</v>
      </c>
    </row>
    <row r="28" spans="1:9" x14ac:dyDescent="0.25">
      <c r="A28" s="4">
        <f>IFERROR(Merged_data[[#This Row],[BTCUSD_Close]]/Merged_data!D27-1,"")</f>
        <v>-2.0207694472229698E-2</v>
      </c>
      <c r="B28" s="4">
        <f>IFERROR(Merged_data[[#This Row],[XAUUSD_Close]]/Merged_data!C27-1, "")</f>
        <v>-4.2992618248565151E-3</v>
      </c>
      <c r="C28" s="4">
        <f>IFERROR(Merged_data[[#This Row],[AAPL_Close]]/Merged_data!B27-1,"")</f>
        <v>9.5246531600505779E-3</v>
      </c>
      <c r="D28" s="4">
        <f t="shared" si="0"/>
        <v>-4.9246171235963424E-3</v>
      </c>
      <c r="E28" s="4">
        <v>-1.0924468397116905E-2</v>
      </c>
      <c r="F28">
        <v>26</v>
      </c>
    </row>
    <row r="29" spans="1:9" x14ac:dyDescent="0.25">
      <c r="A29" s="4">
        <f>IFERROR(Merged_data[[#This Row],[BTCUSD_Close]]/Merged_data!D28-1,"")</f>
        <v>7.8076768676216268E-3</v>
      </c>
      <c r="B29" s="4">
        <f>IFERROR(Merged_data[[#This Row],[XAUUSD_Close]]/Merged_data!C28-1, "")</f>
        <v>1.7449394860291623E-3</v>
      </c>
      <c r="C29" s="4">
        <f>IFERROR(Merged_data[[#This Row],[AAPL_Close]]/Merged_data!B28-1,"")</f>
        <v>1.2773318513999543E-2</v>
      </c>
      <c r="D29" s="4">
        <f t="shared" si="0"/>
        <v>6.8722744088980155E-3</v>
      </c>
      <c r="E29" s="4">
        <v>-1.0531450892989947E-2</v>
      </c>
      <c r="F29">
        <v>27</v>
      </c>
    </row>
    <row r="30" spans="1:9" x14ac:dyDescent="0.25">
      <c r="A30" s="4">
        <f>IFERROR(Merged_data[[#This Row],[BTCUSD_Close]]/Merged_data!D29-1,"")</f>
        <v>2.2484425538995989E-2</v>
      </c>
      <c r="B30" s="4">
        <f>IFERROR(Merged_data[[#This Row],[XAUUSD_Close]]/Merged_data!C29-1, "")</f>
        <v>2.4322294995773319E-3</v>
      </c>
      <c r="C30" s="4">
        <f>IFERROR(Merged_data[[#This Row],[AAPL_Close]]/Merged_data!B29-1,"")</f>
        <v>1.4811208660638897E-3</v>
      </c>
      <c r="D30" s="4">
        <f t="shared" si="0"/>
        <v>8.1625557213488957E-3</v>
      </c>
      <c r="E30" s="4">
        <v>-1.0423503315844063E-2</v>
      </c>
      <c r="F30">
        <v>28</v>
      </c>
    </row>
    <row r="31" spans="1:9" x14ac:dyDescent="0.25">
      <c r="A31" s="4">
        <f>IFERROR(Merged_data[[#This Row],[BTCUSD_Close]]/Merged_data!D30-1,"")</f>
        <v>-1.6020278112027997E-2</v>
      </c>
      <c r="B31" s="4">
        <f>IFERROR(Merged_data[[#This Row],[XAUUSD_Close]]/Merged_data!C30-1, "")</f>
        <v>-6.8337172818331293E-3</v>
      </c>
      <c r="C31" s="4">
        <f>IFERROR(Merged_data[[#This Row],[AAPL_Close]]/Merged_data!B30-1,"")</f>
        <v>1.2358749788865531E-4</v>
      </c>
      <c r="D31" s="4">
        <f t="shared" si="0"/>
        <v>-7.5024940969750549E-3</v>
      </c>
      <c r="E31" s="4">
        <v>-1.0365788983405833E-2</v>
      </c>
      <c r="F31">
        <v>29</v>
      </c>
    </row>
    <row r="32" spans="1:9" x14ac:dyDescent="0.25">
      <c r="A32" s="4">
        <f>IFERROR(Merged_data[[#This Row],[BTCUSD_Close]]/Merged_data!D31-1,"")</f>
        <v>4.9402560940438045E-2</v>
      </c>
      <c r="B32" s="4">
        <f>IFERROR(Merged_data[[#This Row],[XAUUSD_Close]]/Merged_data!C31-1, "")</f>
        <v>0</v>
      </c>
      <c r="C32" s="4">
        <f>IFERROR(Merged_data[[#This Row],[AAPL_Close]]/Merged_data!B31-1,"")</f>
        <v>-8.2381483937665756E-4</v>
      </c>
      <c r="D32" s="4">
        <f t="shared" si="0"/>
        <v>1.4573623830318416E-2</v>
      </c>
      <c r="E32" s="4">
        <v>-1.0176706154910753E-2</v>
      </c>
      <c r="F32">
        <v>30</v>
      </c>
    </row>
    <row r="33" spans="1:6" x14ac:dyDescent="0.25">
      <c r="A33" s="4">
        <f>IFERROR(Merged_data[[#This Row],[BTCUSD_Close]]/Merged_data!D32-1,"")</f>
        <v>-4.4561994542785976E-2</v>
      </c>
      <c r="B33" s="4">
        <f>IFERROR(Merged_data[[#This Row],[XAUUSD_Close]]/Merged_data!C32-1, "")</f>
        <v>1.0794134465051952E-2</v>
      </c>
      <c r="C33" s="4">
        <f>IFERROR(Merged_data[[#This Row],[AAPL_Close]]/Merged_data!B32-1,"")</f>
        <v>1.6102369183709664E-2</v>
      </c>
      <c r="D33" s="4">
        <f t="shared" si="0"/>
        <v>-4.2202338217021138E-3</v>
      </c>
      <c r="E33" s="4">
        <v>-1.0018098121015962E-2</v>
      </c>
      <c r="F33">
        <v>31</v>
      </c>
    </row>
    <row r="34" spans="1:6" x14ac:dyDescent="0.25">
      <c r="A34" s="4">
        <f>IFERROR(Merged_data[[#This Row],[BTCUSD_Close]]/Merged_data!D33-1,"")</f>
        <v>-9.7945010578059932E-4</v>
      </c>
      <c r="B34" s="4">
        <f>IFERROR(Merged_data[[#This Row],[XAUUSD_Close]]/Merged_data!C33-1, "")</f>
        <v>1.2610909282268379E-2</v>
      </c>
      <c r="C34" s="4">
        <f>IFERROR(Merged_data[[#This Row],[AAPL_Close]]/Merged_data!B33-1,"")</f>
        <v>4.1342264452548516E-3</v>
      </c>
      <c r="D34" s="4">
        <f t="shared" si="0"/>
        <v>5.9907966147496276E-3</v>
      </c>
      <c r="E34" s="4">
        <v>-9.7178209255776027E-3</v>
      </c>
      <c r="F34">
        <v>32</v>
      </c>
    </row>
    <row r="35" spans="1:6" x14ac:dyDescent="0.25">
      <c r="A35" s="4">
        <f>IFERROR(Merged_data[[#This Row],[BTCUSD_Close]]/Merged_data!D34-1,"")</f>
        <v>4.4931691197566126E-2</v>
      </c>
      <c r="B35" s="4">
        <f>IFERROR(Merged_data[[#This Row],[XAUUSD_Close]]/Merged_data!C34-1, "")</f>
        <v>8.9775403729475123E-3</v>
      </c>
      <c r="C35" s="4">
        <f>IFERROR(Merged_data[[#This Row],[AAPL_Close]]/Merged_data!B34-1,"")</f>
        <v>-5.1677185270183612E-3</v>
      </c>
      <c r="D35" s="4">
        <f t="shared" si="0"/>
        <v>1.5520207950343335E-2</v>
      </c>
      <c r="E35" s="4">
        <v>-9.3256302012219572E-3</v>
      </c>
      <c r="F35">
        <v>33</v>
      </c>
    </row>
    <row r="36" spans="1:6" x14ac:dyDescent="0.25">
      <c r="A36" s="4">
        <f>IFERROR(Merged_data[[#This Row],[BTCUSD_Close]]/Merged_data!D35-1,"")</f>
        <v>-7.7529332753920599E-3</v>
      </c>
      <c r="B36" s="4">
        <f>IFERROR(Merged_data[[#This Row],[XAUUSD_Close]]/Merged_data!C35-1, "")</f>
        <v>-1.3709793129835668E-2</v>
      </c>
      <c r="C36" s="4">
        <f>IFERROR(Merged_data[[#This Row],[AAPL_Close]]/Merged_data!B35-1,"")</f>
        <v>5.9662333126200284E-3</v>
      </c>
      <c r="D36" s="4">
        <f t="shared" si="0"/>
        <v>-6.0199272407658764E-3</v>
      </c>
      <c r="E36" s="4">
        <v>-9.1731661660672918E-3</v>
      </c>
      <c r="F36">
        <v>34</v>
      </c>
    </row>
    <row r="37" spans="1:6" x14ac:dyDescent="0.25">
      <c r="A37" s="4">
        <f>IFERROR(Merged_data[[#This Row],[BTCUSD_Close]]/Merged_data!D36-1,"")</f>
        <v>1.158589387560105E-2</v>
      </c>
      <c r="B37" s="4">
        <f>IFERROR(Merged_data[[#This Row],[XAUUSD_Close]]/Merged_data!C36-1, "")</f>
        <v>-1.2363546840292172E-2</v>
      </c>
      <c r="C37" s="4">
        <f>IFERROR(Merged_data[[#This Row],[AAPL_Close]]/Merged_data!B36-1,"")</f>
        <v>6.8231000290697175E-4</v>
      </c>
      <c r="D37" s="4">
        <f t="shared" si="0"/>
        <v>-1.2649575725644626E-3</v>
      </c>
      <c r="E37" s="4">
        <v>-9.0914386540959409E-3</v>
      </c>
      <c r="F37">
        <v>35</v>
      </c>
    </row>
    <row r="38" spans="1:6" x14ac:dyDescent="0.25">
      <c r="A38" s="4">
        <f>IFERROR(Merged_data[[#This Row],[BTCUSD_Close]]/Merged_data!D37-1,"")</f>
        <v>4.1453887101376541E-2</v>
      </c>
      <c r="B38" s="4">
        <f>IFERROR(Merged_data[[#This Row],[XAUUSD_Close]]/Merged_data!C37-1, "")</f>
        <v>1.8903056214403247E-3</v>
      </c>
      <c r="C38" s="4">
        <f>IFERROR(Merged_data[[#This Row],[AAPL_Close]]/Merged_data!B37-1,"")</f>
        <v>1.1728537019329632E-2</v>
      </c>
      <c r="D38" s="4">
        <f t="shared" si="0"/>
        <v>1.671084948478798E-2</v>
      </c>
      <c r="E38" s="4">
        <v>-8.8373997007339285E-3</v>
      </c>
      <c r="F38">
        <v>36</v>
      </c>
    </row>
    <row r="39" spans="1:6" x14ac:dyDescent="0.25">
      <c r="A39" s="4">
        <f>IFERROR(Merged_data[[#This Row],[BTCUSD_Close]]/Merged_data!D38-1,"")</f>
        <v>1.303805600695318E-3</v>
      </c>
      <c r="B39" s="4">
        <f>IFERROR(Merged_data[[#This Row],[XAUUSD_Close]]/Merged_data!C38-1, "")</f>
        <v>-2.297637335192948E-3</v>
      </c>
      <c r="C39" s="4">
        <f>IFERROR(Merged_data[[#This Row],[AAPL_Close]]/Merged_data!B38-1,"")</f>
        <v>9.7222886857761814E-3</v>
      </c>
      <c r="D39" s="4">
        <f t="shared" si="0"/>
        <v>2.3887733518642706E-3</v>
      </c>
      <c r="E39" s="4">
        <v>-8.2927301544149287E-3</v>
      </c>
      <c r="F39">
        <v>37</v>
      </c>
    </row>
    <row r="40" spans="1:6" x14ac:dyDescent="0.25">
      <c r="A40" s="4">
        <f>IFERROR(Merged_data[[#This Row],[BTCUSD_Close]]/Merged_data!D39-1,"")</f>
        <v>-4.5970070389311446E-2</v>
      </c>
      <c r="B40" s="4">
        <f>IFERROR(Merged_data[[#This Row],[XAUUSD_Close]]/Merged_data!C39-1, "")</f>
        <v>-2.315775155575206E-2</v>
      </c>
      <c r="C40" s="4">
        <f>IFERROR(Merged_data[[#This Row],[AAPL_Close]]/Merged_data!B39-1,"")</f>
        <v>-2.1421631740665581E-2</v>
      </c>
      <c r="D40" s="4">
        <f t="shared" si="0"/>
        <v>-2.9480611261293928E-2</v>
      </c>
      <c r="E40" s="4">
        <v>-8.2377874663443935E-3</v>
      </c>
      <c r="F40">
        <v>38</v>
      </c>
    </row>
    <row r="41" spans="1:6" x14ac:dyDescent="0.25">
      <c r="A41" s="4">
        <f>IFERROR(Merged_data[[#This Row],[BTCUSD_Close]]/Merged_data!D40-1,"")</f>
        <v>-2.8590643853229181E-2</v>
      </c>
      <c r="B41" s="4">
        <f>IFERROR(Merged_data[[#This Row],[XAUUSD_Close]]/Merged_data!C40-1, "")</f>
        <v>3.4598930894969016E-3</v>
      </c>
      <c r="C41" s="4">
        <f>IFERROR(Merged_data[[#This Row],[AAPL_Close]]/Merged_data!B40-1,"")</f>
        <v>7.0143434848937147E-3</v>
      </c>
      <c r="D41" s="4">
        <f t="shared" si="0"/>
        <v>-5.0889328747018795E-3</v>
      </c>
      <c r="E41" s="4">
        <v>-8.1776794619154766E-3</v>
      </c>
      <c r="F41">
        <v>39</v>
      </c>
    </row>
    <row r="42" spans="1:6" x14ac:dyDescent="0.25">
      <c r="A42" s="4">
        <f>IFERROR(Merged_data[[#This Row],[BTCUSD_Close]]/Merged_data!D41-1,"")</f>
        <v>-1.8385407333800341E-2</v>
      </c>
      <c r="B42" s="4">
        <f>IFERROR(Merged_data[[#This Row],[XAUUSD_Close]]/Merged_data!C41-1, "")</f>
        <v>1.1103251955741245E-2</v>
      </c>
      <c r="C42" s="4">
        <f>IFERROR(Merged_data[[#This Row],[AAPL_Close]]/Merged_data!B41-1,"")</f>
        <v>1.8816428605780811E-2</v>
      </c>
      <c r="D42" s="4">
        <f t="shared" si="0"/>
        <v>4.5706071638906389E-3</v>
      </c>
      <c r="E42" s="4">
        <v>-8.0120600713306511E-3</v>
      </c>
      <c r="F42">
        <v>40</v>
      </c>
    </row>
    <row r="43" spans="1:6" x14ac:dyDescent="0.25">
      <c r="A43" s="4">
        <f>IFERROR(Merged_data[[#This Row],[BTCUSD_Close]]/Merged_data!D42-1,"")</f>
        <v>-1.4143262243629939E-2</v>
      </c>
      <c r="B43" s="4">
        <f>IFERROR(Merged_data[[#This Row],[XAUUSD_Close]]/Merged_data!C42-1, "")</f>
        <v>-3.8675760267470327E-3</v>
      </c>
      <c r="C43" s="4">
        <f>IFERROR(Merged_data[[#This Row],[AAPL_Close]]/Merged_data!B42-1,"")</f>
        <v>3.0643835239230199E-3</v>
      </c>
      <c r="D43" s="4">
        <f t="shared" si="0"/>
        <v>-4.8706940266108889E-3</v>
      </c>
      <c r="E43" s="4">
        <v>-7.8489454005903122E-3</v>
      </c>
      <c r="F43">
        <v>41</v>
      </c>
    </row>
    <row r="44" spans="1:6" x14ac:dyDescent="0.25">
      <c r="A44" s="4">
        <f>IFERROR(Merged_data[[#This Row],[BTCUSD_Close]]/Merged_data!D43-1,"")</f>
        <v>3.846509934792075E-2</v>
      </c>
      <c r="B44" s="4">
        <f>IFERROR(Merged_data[[#This Row],[XAUUSD_Close]]/Merged_data!C43-1, "")</f>
        <v>1.238066625971701E-3</v>
      </c>
      <c r="C44" s="4">
        <f>IFERROR(Merged_data[[#This Row],[AAPL_Close]]/Merged_data!B43-1,"")</f>
        <v>1.1474959802345142E-2</v>
      </c>
      <c r="D44" s="4">
        <f t="shared" si="0"/>
        <v>1.5477244395468447E-2</v>
      </c>
      <c r="E44" s="4">
        <v>-7.8463305743932781E-3</v>
      </c>
      <c r="F44">
        <v>42</v>
      </c>
    </row>
    <row r="45" spans="1:6" x14ac:dyDescent="0.25">
      <c r="A45" s="4">
        <f>IFERROR(Merged_data[[#This Row],[BTCUSD_Close]]/Merged_data!D44-1,"")</f>
        <v>-3.0367992186890569E-2</v>
      </c>
      <c r="B45" s="4">
        <f>IFERROR(Merged_data[[#This Row],[XAUUSD_Close]]/Merged_data!C44-1, "")</f>
        <v>6.7330994044754178E-3</v>
      </c>
      <c r="C45" s="4">
        <f>IFERROR(Merged_data[[#This Row],[AAPL_Close]]/Merged_data!B44-1,"")</f>
        <v>3.1793297042448376E-3</v>
      </c>
      <c r="D45" s="4">
        <f t="shared" si="0"/>
        <v>-5.4633589830035516E-3</v>
      </c>
      <c r="E45" s="4">
        <v>-7.840186047144572E-3</v>
      </c>
      <c r="F45">
        <v>43</v>
      </c>
    </row>
    <row r="46" spans="1:6" x14ac:dyDescent="0.25">
      <c r="A46" s="4">
        <f>IFERROR(Merged_data[[#This Row],[BTCUSD_Close]]/Merged_data!D45-1,"")</f>
        <v>-1.2625851022480705E-2</v>
      </c>
      <c r="B46" s="4">
        <f>IFERROR(Merged_data[[#This Row],[XAUUSD_Close]]/Merged_data!C45-1, "")</f>
        <v>-6.9253681474831241E-3</v>
      </c>
      <c r="C46" s="4">
        <f>IFERROR(Merged_data[[#This Row],[AAPL_Close]]/Merged_data!B45-1,"")</f>
        <v>-1.3245161090841617E-2</v>
      </c>
      <c r="D46" s="4">
        <f t="shared" si="0"/>
        <v>-1.0531450892989947E-2</v>
      </c>
      <c r="E46" s="4">
        <v>-7.720514081054417E-3</v>
      </c>
      <c r="F46">
        <v>44</v>
      </c>
    </row>
    <row r="47" spans="1:6" x14ac:dyDescent="0.25">
      <c r="A47" s="4">
        <f>IFERROR(Merged_data[[#This Row],[BTCUSD_Close]]/Merged_data!D46-1,"")</f>
        <v>-1.9985185185185217E-2</v>
      </c>
      <c r="B47" s="4">
        <f>IFERROR(Merged_data[[#This Row],[XAUUSD_Close]]/Merged_data!C46-1, "")</f>
        <v>-3.6665258425074843E-3</v>
      </c>
      <c r="C47" s="4">
        <f>IFERROR(Merged_data[[#This Row],[AAPL_Close]]/Merged_data!B46-1,"")</f>
        <v>-1.3262360512163673E-2</v>
      </c>
      <c r="D47" s="4">
        <f t="shared" si="0"/>
        <v>-1.1440874046207659E-2</v>
      </c>
      <c r="E47" s="4">
        <v>-7.5024940969750549E-3</v>
      </c>
      <c r="F47">
        <v>45</v>
      </c>
    </row>
    <row r="48" spans="1:6" x14ac:dyDescent="0.25">
      <c r="A48" s="4">
        <f>IFERROR(Merged_data[[#This Row],[BTCUSD_Close]]/Merged_data!D47-1,"")</f>
        <v>7.6048952936680347E-3</v>
      </c>
      <c r="B48" s="4">
        <f>IFERROR(Merged_data[[#This Row],[XAUUSD_Close]]/Merged_data!C47-1, "")</f>
        <v>7.1451458480831231E-3</v>
      </c>
      <c r="C48" s="4">
        <f>IFERROR(Merged_data[[#This Row],[AAPL_Close]]/Merged_data!B47-1,"")</f>
        <v>-7.0577120786906589E-3</v>
      </c>
      <c r="D48" s="4">
        <f t="shared" si="0"/>
        <v>3.0222133037264621E-3</v>
      </c>
      <c r="E48" s="4">
        <v>-7.3287239718774384E-3</v>
      </c>
      <c r="F48">
        <v>46</v>
      </c>
    </row>
    <row r="49" spans="1:6" x14ac:dyDescent="0.25">
      <c r="A49" s="4">
        <f>IFERROR(Merged_data[[#This Row],[BTCUSD_Close]]/Merged_data!D48-1,"")</f>
        <v>3.7477080491278514E-2</v>
      </c>
      <c r="B49" s="4">
        <f>IFERROR(Merged_data[[#This Row],[XAUUSD_Close]]/Merged_data!C48-1, "")</f>
        <v>1.2735346731006958E-2</v>
      </c>
      <c r="C49" s="4">
        <f>IFERROR(Merged_data[[#This Row],[AAPL_Close]]/Merged_data!B48-1,"")</f>
        <v>-2.6236782666053782E-2</v>
      </c>
      <c r="D49" s="4">
        <f t="shared" si="0"/>
        <v>8.4662280399702017E-3</v>
      </c>
      <c r="E49" s="4">
        <v>-7.2456869563709784E-3</v>
      </c>
      <c r="F49">
        <v>47</v>
      </c>
    </row>
    <row r="50" spans="1:6" x14ac:dyDescent="0.25">
      <c r="A50" s="4">
        <f>IFERROR(Merged_data[[#This Row],[BTCUSD_Close]]/Merged_data!D49-1,"")</f>
        <v>1.5393609735892655E-2</v>
      </c>
      <c r="B50" s="4">
        <f>IFERROR(Merged_data[[#This Row],[XAUUSD_Close]]/Merged_data!C49-1, "")</f>
        <v>-7.4303708413436809E-3</v>
      </c>
      <c r="C50" s="4">
        <f>IFERROR(Merged_data[[#This Row],[AAPL_Close]]/Merged_data!B49-1,"")</f>
        <v>-2.0075375027711617E-3</v>
      </c>
      <c r="D50" s="4">
        <f t="shared" si="0"/>
        <v>1.0436733333989753E-3</v>
      </c>
      <c r="E50" s="4">
        <v>-6.9177693810289469E-3</v>
      </c>
      <c r="F50">
        <v>48</v>
      </c>
    </row>
    <row r="51" spans="1:6" x14ac:dyDescent="0.25">
      <c r="A51" s="4">
        <f>IFERROR(Merged_data[[#This Row],[BTCUSD_Close]]/Merged_data!D50-1,"")</f>
        <v>3.8023177271950592E-2</v>
      </c>
      <c r="B51" s="4">
        <f>IFERROR(Merged_data[[#This Row],[XAUUSD_Close]]/Merged_data!C50-1, "")</f>
        <v>-8.244069955198885E-4</v>
      </c>
      <c r="C51" s="4">
        <f>IFERROR(Merged_data[[#This Row],[AAPL_Close]]/Merged_data!B50-1,"")</f>
        <v>6.73816193802379E-3</v>
      </c>
      <c r="D51" s="4">
        <f t="shared" si="0"/>
        <v>1.3098638964784358E-2</v>
      </c>
      <c r="E51" s="4">
        <v>-6.8540309907816448E-3</v>
      </c>
      <c r="F51">
        <v>49</v>
      </c>
    </row>
    <row r="52" spans="1:6" x14ac:dyDescent="0.25">
      <c r="A52" s="4">
        <f>IFERROR(Merged_data[[#This Row],[BTCUSD_Close]]/Merged_data!D51-1,"")</f>
        <v>-4.813947334894797E-2</v>
      </c>
      <c r="B52" s="4">
        <f>IFERROR(Merged_data[[#This Row],[XAUUSD_Close]]/Merged_data!C51-1, "")</f>
        <v>4.7987830437941081E-3</v>
      </c>
      <c r="C52" s="4">
        <f>IFERROR(Merged_data[[#This Row],[AAPL_Close]]/Merged_data!B51-1,"")</f>
        <v>-1.1388013778393491E-2</v>
      </c>
      <c r="D52" s="4">
        <f t="shared" si="0"/>
        <v>-1.5938732920684793E-2</v>
      </c>
      <c r="E52" s="4">
        <v>-6.6630340699818883E-3</v>
      </c>
      <c r="F52">
        <v>50</v>
      </c>
    </row>
    <row r="53" spans="1:6" x14ac:dyDescent="0.25">
      <c r="A53" s="4">
        <f>IFERROR(Merged_data[[#This Row],[BTCUSD_Close]]/Merged_data!D52-1,"")</f>
        <v>-1.9223958290434884E-2</v>
      </c>
      <c r="B53" s="4">
        <f>IFERROR(Merged_data[[#This Row],[XAUUSD_Close]]/Merged_data!C52-1, "")</f>
        <v>5.0458048842181302E-3</v>
      </c>
      <c r="C53" s="4">
        <f>IFERROR(Merged_data[[#This Row],[AAPL_Close]]/Merged_data!B52-1,"")</f>
        <v>2.0211288562643759E-3</v>
      </c>
      <c r="D53" s="4">
        <f t="shared" si="0"/>
        <v>-3.1425268765639005E-3</v>
      </c>
      <c r="E53" s="4">
        <v>-6.5800414756280179E-3</v>
      </c>
      <c r="F53">
        <v>51</v>
      </c>
    </row>
    <row r="54" spans="1:6" x14ac:dyDescent="0.25">
      <c r="A54" s="4">
        <f>IFERROR(Merged_data[[#This Row],[BTCUSD_Close]]/Merged_data!D53-1,"")</f>
        <v>-6.7739781821846146E-3</v>
      </c>
      <c r="B54" s="4">
        <f>IFERROR(Merged_data[[#This Row],[XAUUSD_Close]]/Merged_data!C53-1, "")</f>
        <v>1.0713346606062935E-2</v>
      </c>
      <c r="C54" s="4">
        <f>IFERROR(Merged_data[[#This Row],[AAPL_Close]]/Merged_data!B53-1,"")</f>
        <v>-2.4101504333155943E-2</v>
      </c>
      <c r="D54" s="4">
        <f t="shared" si="0"/>
        <v>-4.9773061121769924E-3</v>
      </c>
      <c r="E54" s="4">
        <v>-6.0199272407658764E-3</v>
      </c>
      <c r="F54">
        <v>52</v>
      </c>
    </row>
    <row r="55" spans="1:6" x14ac:dyDescent="0.25">
      <c r="A55" s="4">
        <f>IFERROR(Merged_data[[#This Row],[BTCUSD_Close]]/Merged_data!D54-1,"")</f>
        <v>-2.6993234780899877E-3</v>
      </c>
      <c r="B55" s="4">
        <f>IFERROR(Merged_data[[#This Row],[XAUUSD_Close]]/Merged_data!C54-1, "")</f>
        <v>-1.0248567244724227E-2</v>
      </c>
      <c r="C55" s="4">
        <f>IFERROR(Merged_data[[#This Row],[AAPL_Close]]/Merged_data!B54-1,"")</f>
        <v>-1.0342787100046547E-2</v>
      </c>
      <c r="D55" s="4">
        <f t="shared" si="0"/>
        <v>-8.0120600713306511E-3</v>
      </c>
      <c r="E55" s="4">
        <v>-5.6554665904762205E-3</v>
      </c>
      <c r="F55">
        <v>53</v>
      </c>
    </row>
    <row r="56" spans="1:6" x14ac:dyDescent="0.25">
      <c r="A56" s="4">
        <f>IFERROR(Merged_data[[#This Row],[BTCUSD_Close]]/Merged_data!D55-1,"")</f>
        <v>2.4665936844604053E-2</v>
      </c>
      <c r="B56" s="4">
        <f>IFERROR(Merged_data[[#This Row],[XAUUSD_Close]]/Merged_data!C55-1, "")</f>
        <v>5.3754254997568918E-3</v>
      </c>
      <c r="C56" s="4">
        <f>IFERROR(Merged_data[[#This Row],[AAPL_Close]]/Merged_data!B55-1,"")</f>
        <v>-4.7791307021777252E-3</v>
      </c>
      <c r="D56" s="4">
        <f t="shared" si="0"/>
        <v>8.1162120426306553E-3</v>
      </c>
      <c r="E56" s="4">
        <v>-5.5131371352911459E-3</v>
      </c>
      <c r="F56">
        <v>54</v>
      </c>
    </row>
    <row r="57" spans="1:6" x14ac:dyDescent="0.25">
      <c r="A57" s="4">
        <f>IFERROR(Merged_data[[#This Row],[BTCUSD_Close]]/Merged_data!D56-1,"")</f>
        <v>3.1238493966184278E-2</v>
      </c>
      <c r="B57" s="4">
        <f>IFERROR(Merged_data[[#This Row],[XAUUSD_Close]]/Merged_data!C56-1, "")</f>
        <v>7.1581707353511881E-3</v>
      </c>
      <c r="C57" s="4">
        <f>IFERROR(Merged_data[[#This Row],[AAPL_Close]]/Merged_data!B56-1,"")</f>
        <v>1.9676084866794952E-2</v>
      </c>
      <c r="D57" s="4">
        <f t="shared" si="0"/>
        <v>1.8137641944034243E-2</v>
      </c>
      <c r="E57" s="4">
        <v>-5.4633589830035516E-3</v>
      </c>
      <c r="F57">
        <v>55</v>
      </c>
    </row>
    <row r="58" spans="1:6" x14ac:dyDescent="0.25">
      <c r="A58" s="4">
        <f>IFERROR(Merged_data[[#This Row],[BTCUSD_Close]]/Merged_data!D57-1,"")</f>
        <v>1.1182563625276032E-3</v>
      </c>
      <c r="B58" s="4">
        <f>IFERROR(Merged_data[[#This Row],[XAUUSD_Close]]/Merged_data!C57-1, "")</f>
        <v>6.7345935973150972E-3</v>
      </c>
      <c r="C58" s="4">
        <f>IFERROR(Merged_data[[#This Row],[AAPL_Close]]/Merged_data!B57-1,"")</f>
        <v>-4.04025100059342E-2</v>
      </c>
      <c r="D58" s="4">
        <f t="shared" si="0"/>
        <v>-9.0914386540959409E-3</v>
      </c>
      <c r="E58" s="4">
        <v>-5.1040367548045975E-3</v>
      </c>
      <c r="F58">
        <v>56</v>
      </c>
    </row>
    <row r="59" spans="1:6" x14ac:dyDescent="0.25">
      <c r="A59" s="4">
        <f>IFERROR(Merged_data[[#This Row],[BTCUSD_Close]]/Merged_data!D58-1,"")</f>
        <v>4.936571018119551E-2</v>
      </c>
      <c r="B59" s="4">
        <f>IFERROR(Merged_data[[#This Row],[XAUUSD_Close]]/Merged_data!C58-1, "")</f>
        <v>-5.0908300594728617E-3</v>
      </c>
      <c r="C59" s="4">
        <f>IFERROR(Merged_data[[#This Row],[AAPL_Close]]/Merged_data!B58-1,"")</f>
        <v>7.5347902933657895E-3</v>
      </c>
      <c r="D59" s="4">
        <f t="shared" si="0"/>
        <v>1.5033818118579245E-2</v>
      </c>
      <c r="E59" s="4">
        <v>-5.0889328747018795E-3</v>
      </c>
      <c r="F59">
        <v>57</v>
      </c>
    </row>
    <row r="60" spans="1:6" x14ac:dyDescent="0.25">
      <c r="A60" s="4">
        <f>IFERROR(Merged_data[[#This Row],[BTCUSD_Close]]/Merged_data!D59-1,"")</f>
        <v>1.2076602894566024E-2</v>
      </c>
      <c r="B60" s="4">
        <f>IFERROR(Merged_data[[#This Row],[XAUUSD_Close]]/Merged_data!C59-1, "")</f>
        <v>1.627071327148899E-2</v>
      </c>
      <c r="C60" s="4">
        <f>IFERROR(Merged_data[[#This Row],[AAPL_Close]]/Merged_data!B59-1,"")</f>
        <v>-3.191614394476916E-2</v>
      </c>
      <c r="D60" s="4">
        <f t="shared" si="0"/>
        <v>5.5642299353465645E-4</v>
      </c>
      <c r="E60" s="4">
        <v>-4.9773061121769924E-3</v>
      </c>
      <c r="F60">
        <v>58</v>
      </c>
    </row>
    <row r="61" spans="1:6" x14ac:dyDescent="0.25">
      <c r="A61" s="4">
        <f>IFERROR(Merged_data[[#This Row],[BTCUSD_Close]]/Merged_data!D60-1,"")</f>
        <v>-2.0846499957552389E-2</v>
      </c>
      <c r="B61" s="4">
        <f>IFERROR(Merged_data[[#This Row],[XAUUSD_Close]]/Merged_data!C60-1, "")</f>
        <v>4.1879037164684885E-3</v>
      </c>
      <c r="C61" s="4">
        <f>IFERROR(Merged_data[[#This Row],[AAPL_Close]]/Merged_data!B60-1,"")</f>
        <v>5.3463432181477533E-3</v>
      </c>
      <c r="D61" s="4">
        <f t="shared" si="0"/>
        <v>-2.9748855352339943E-3</v>
      </c>
      <c r="E61" s="4">
        <v>-4.944697181532798E-3</v>
      </c>
      <c r="F61">
        <v>59</v>
      </c>
    </row>
    <row r="62" spans="1:6" x14ac:dyDescent="0.25">
      <c r="A62" s="4">
        <f>IFERROR(Merged_data[[#This Row],[BTCUSD_Close]]/Merged_data!D61-1,"")</f>
        <v>1.8592911572883342E-3</v>
      </c>
      <c r="B62" s="4">
        <f>IFERROR(Merged_data[[#This Row],[XAUUSD_Close]]/Merged_data!C61-1, "")</f>
        <v>-5.1518246347903585E-4</v>
      </c>
      <c r="C62" s="4">
        <f>IFERROR(Merged_data[[#This Row],[AAPL_Close]]/Merged_data!B61-1,"")</f>
        <v>-7.6034063260344009E-4</v>
      </c>
      <c r="D62" s="4">
        <f t="shared" si="0"/>
        <v>1.2361217201385389E-4</v>
      </c>
      <c r="E62" s="4">
        <v>-4.9246171235963424E-3</v>
      </c>
      <c r="F62">
        <v>60</v>
      </c>
    </row>
    <row r="63" spans="1:6" x14ac:dyDescent="0.25">
      <c r="A63" s="4">
        <f>IFERROR(Merged_data[[#This Row],[BTCUSD_Close]]/Merged_data!D62-1,"")</f>
        <v>9.8465325589445207E-3</v>
      </c>
      <c r="B63" s="4">
        <f>IFERROR(Merged_data[[#This Row],[XAUUSD_Close]]/Merged_data!C62-1, "")</f>
        <v>5.8877230809997183E-3</v>
      </c>
      <c r="C63" s="4">
        <f>IFERROR(Merged_data[[#This Row],[AAPL_Close]]/Merged_data!B62-1,"")</f>
        <v>-3.9343998137985059E-3</v>
      </c>
      <c r="D63" s="4">
        <f t="shared" si="0"/>
        <v>4.1287290559436918E-3</v>
      </c>
      <c r="E63" s="4">
        <v>-4.8706940266108889E-3</v>
      </c>
      <c r="F63">
        <v>61</v>
      </c>
    </row>
    <row r="64" spans="1:6" x14ac:dyDescent="0.25">
      <c r="A64" s="4">
        <f>IFERROR(Merged_data[[#This Row],[BTCUSD_Close]]/Merged_data!D63-1,"")</f>
        <v>-3.249857170062842E-2</v>
      </c>
      <c r="B64" s="4">
        <f>IFERROR(Merged_data[[#This Row],[XAUUSD_Close]]/Merged_data!C63-1, "")</f>
        <v>-1.0889157935191962E-2</v>
      </c>
      <c r="C64" s="4">
        <f>IFERROR(Merged_data[[#This Row],[AAPL_Close]]/Merged_data!B63-1,"")</f>
        <v>3.1783764351674959E-2</v>
      </c>
      <c r="D64" s="4">
        <f t="shared" si="0"/>
        <v>-4.5701053787628228E-3</v>
      </c>
      <c r="E64" s="4">
        <v>-4.6254549737671739E-3</v>
      </c>
      <c r="F64">
        <v>62</v>
      </c>
    </row>
    <row r="65" spans="1:6" x14ac:dyDescent="0.25">
      <c r="A65" s="4">
        <f>IFERROR(Merged_data[[#This Row],[BTCUSD_Close]]/Merged_data!D64-1,"")</f>
        <v>-4.0154713750036874E-3</v>
      </c>
      <c r="B65" s="4">
        <f>IFERROR(Merged_data[[#This Row],[XAUUSD_Close]]/Merged_data!C64-1, "")</f>
        <v>8.376718850900966E-3</v>
      </c>
      <c r="C65" s="4">
        <f>IFERROR(Merged_data[[#This Row],[AAPL_Close]]/Merged_data!B64-1,"")</f>
        <v>3.6540538657189536E-2</v>
      </c>
      <c r="D65" s="4">
        <f t="shared" si="0"/>
        <v>1.3108207725016141E-2</v>
      </c>
      <c r="E65" s="4">
        <v>-4.5701053787628228E-3</v>
      </c>
      <c r="F65">
        <v>63</v>
      </c>
    </row>
    <row r="66" spans="1:6" x14ac:dyDescent="0.25">
      <c r="A66" s="4">
        <f>IFERROR(Merged_data[[#This Row],[BTCUSD_Close]]/Merged_data!D65-1,"")</f>
        <v>2.2618800581033494E-2</v>
      </c>
      <c r="B66" s="4">
        <f>IFERROR(Merged_data[[#This Row],[XAUUSD_Close]]/Merged_data!C65-1, "")</f>
        <v>-1.5449240020406485E-3</v>
      </c>
      <c r="C66" s="4">
        <f>IFERROR(Merged_data[[#This Row],[AAPL_Close]]/Merged_data!B65-1,"")</f>
        <v>4.617685862906562E-3</v>
      </c>
      <c r="D66" s="4">
        <f t="shared" si="0"/>
        <v>7.5529763323657576E-3</v>
      </c>
      <c r="E66" s="4">
        <v>-4.4765306763314356E-3</v>
      </c>
      <c r="F66">
        <v>64</v>
      </c>
    </row>
    <row r="67" spans="1:6" x14ac:dyDescent="0.25">
      <c r="A67" s="4">
        <f>IFERROR(Merged_data[[#This Row],[BTCUSD_Close]]/Merged_data!D66-1,"")</f>
        <v>1.5760281385281294E-2</v>
      </c>
      <c r="B67" s="4">
        <f>IFERROR(Merged_data[[#This Row],[XAUUSD_Close]]/Merged_data!C66-1, "")</f>
        <v>1.2528898906371211E-2</v>
      </c>
      <c r="C67" s="4">
        <f>IFERROR(Merged_data[[#This Row],[AAPL_Close]]/Merged_data!B66-1,"")</f>
        <v>-7.3944884293821733E-3</v>
      </c>
      <c r="D67" s="4">
        <f t="shared" si="0"/>
        <v>7.5212974493182212E-3</v>
      </c>
      <c r="E67" s="4">
        <v>-4.2838285567342489E-3</v>
      </c>
      <c r="F67">
        <v>65</v>
      </c>
    </row>
    <row r="68" spans="1:6" x14ac:dyDescent="0.25">
      <c r="A68" s="4">
        <f>IFERROR(Merged_data[[#This Row],[BTCUSD_Close]]/Merged_data!D67-1,"")</f>
        <v>-3.3504884939925206E-2</v>
      </c>
      <c r="B68" s="4">
        <f>IFERROR(Merged_data[[#This Row],[XAUUSD_Close]]/Merged_data!C67-1, "")</f>
        <v>2.5356140140542216E-3</v>
      </c>
      <c r="C68" s="4">
        <f>IFERROR(Merged_data[[#This Row],[AAPL_Close]]/Merged_data!B67-1,"")</f>
        <v>-6.6911334055256289E-3</v>
      </c>
      <c r="D68" s="4">
        <f t="shared" ref="D68:D131" si="1">SUMPRODUCT(A68:C68,$I$2:$K$2)</f>
        <v>-1.1044559898013562E-2</v>
      </c>
      <c r="E68" s="4">
        <v>-4.2707602604853184E-3</v>
      </c>
      <c r="F68">
        <v>66</v>
      </c>
    </row>
    <row r="69" spans="1:6" x14ac:dyDescent="0.25">
      <c r="A69" s="4">
        <f>IFERROR(Merged_data[[#This Row],[BTCUSD_Close]]/Merged_data!D68-1,"")</f>
        <v>1.1614516176658984E-3</v>
      </c>
      <c r="B69" s="4">
        <f>IFERROR(Merged_data[[#This Row],[XAUUSD_Close]]/Merged_data!C68-1, "")</f>
        <v>4.8977610235321212E-3</v>
      </c>
      <c r="C69" s="4">
        <f>IFERROR(Merged_data[[#This Row],[AAPL_Close]]/Merged_data!B68-1,"")</f>
        <v>-3.3854950984343102E-2</v>
      </c>
      <c r="D69" s="4">
        <f t="shared" si="1"/>
        <v>-7.8489454005903122E-3</v>
      </c>
      <c r="E69" s="4">
        <v>-4.2202338217021138E-3</v>
      </c>
      <c r="F69">
        <v>67</v>
      </c>
    </row>
    <row r="70" spans="1:6" x14ac:dyDescent="0.25">
      <c r="A70" s="4">
        <f>IFERROR(Merged_data[[#This Row],[BTCUSD_Close]]/Merged_data!D69-1,"")</f>
        <v>-3.9585115273066851E-2</v>
      </c>
      <c r="B70" s="4">
        <f>IFERROR(Merged_data[[#This Row],[XAUUSD_Close]]/Merged_data!C69-1, "")</f>
        <v>9.7975133214920351E-3</v>
      </c>
      <c r="C70" s="4">
        <f>IFERROR(Merged_data[[#This Row],[AAPL_Close]]/Merged_data!B69-1,"")</f>
        <v>2.1004566210045761E-2</v>
      </c>
      <c r="D70" s="4">
        <f t="shared" si="1"/>
        <v>-1.6551593903095128E-3</v>
      </c>
      <c r="E70" s="4">
        <v>-4.1390132856656599E-3</v>
      </c>
      <c r="F70">
        <v>68</v>
      </c>
    </row>
    <row r="71" spans="1:6" x14ac:dyDescent="0.25">
      <c r="A71" s="4">
        <f>IFERROR(Merged_data[[#This Row],[BTCUSD_Close]]/Merged_data!D70-1,"")</f>
        <v>-1.2139594589337999E-2</v>
      </c>
      <c r="B71" s="4">
        <f>IFERROR(Merged_data[[#This Row],[XAUUSD_Close]]/Merged_data!C70-1, "")</f>
        <v>8.4746955230812215E-3</v>
      </c>
      <c r="C71" s="4">
        <f>IFERROR(Merged_data[[#This Row],[AAPL_Close]]/Merged_data!B70-1,"")</f>
        <v>-1.414786018990033E-3</v>
      </c>
      <c r="D71" s="4">
        <f t="shared" si="1"/>
        <v>-6.7643597326592052E-4</v>
      </c>
      <c r="E71" s="4">
        <v>-4.1198926086713382E-3</v>
      </c>
      <c r="F71">
        <v>69</v>
      </c>
    </row>
    <row r="72" spans="1:6" x14ac:dyDescent="0.25">
      <c r="A72" s="4">
        <f>IFERROR(Merged_data[[#This Row],[BTCUSD_Close]]/Merged_data!D71-1,"")</f>
        <v>4.5853639328226059E-3</v>
      </c>
      <c r="B72" s="4">
        <f>IFERROR(Merged_data[[#This Row],[XAUUSD_Close]]/Merged_data!C71-1, "")</f>
        <v>-3.7098794071170893E-3</v>
      </c>
      <c r="C72" s="4">
        <f>IFERROR(Merged_data[[#This Row],[AAPL_Close]]/Merged_data!B71-1,"")</f>
        <v>3.2254591649978348E-3</v>
      </c>
      <c r="D72" s="4">
        <f t="shared" si="1"/>
        <v>8.5929516649929617E-4</v>
      </c>
      <c r="E72" s="4">
        <v>-4.0913290225677579E-3</v>
      </c>
      <c r="F72">
        <v>70</v>
      </c>
    </row>
    <row r="73" spans="1:6" x14ac:dyDescent="0.25">
      <c r="A73" s="4">
        <f>IFERROR(Merged_data[[#This Row],[BTCUSD_Close]]/Merged_data!D72-1,"")</f>
        <v>-1.0580204074054134E-2</v>
      </c>
      <c r="B73" s="4">
        <f>IFERROR(Merged_data[[#This Row],[XAUUSD_Close]]/Merged_data!C72-1, "")</f>
        <v>1.6176272349603948E-3</v>
      </c>
      <c r="C73" s="4">
        <f>IFERROR(Merged_data[[#This Row],[AAPL_Close]]/Merged_data!B72-1,"")</f>
        <v>-2.3969368657818402E-2</v>
      </c>
      <c r="D73" s="4">
        <f t="shared" si="1"/>
        <v>-9.7178209255776027E-3</v>
      </c>
      <c r="E73" s="4">
        <v>-4.0688514386698722E-3</v>
      </c>
      <c r="F73">
        <v>71</v>
      </c>
    </row>
    <row r="74" spans="1:6" x14ac:dyDescent="0.25">
      <c r="A74" s="4">
        <f>IFERROR(Merged_data[[#This Row],[BTCUSD_Close]]/Merged_data!D73-1,"")</f>
        <v>1.5725686643487391E-2</v>
      </c>
      <c r="B74" s="4">
        <f>IFERROR(Merged_data[[#This Row],[XAUUSD_Close]]/Merged_data!C73-1, "")</f>
        <v>1.6566136077227123E-2</v>
      </c>
      <c r="C74" s="4">
        <f>IFERROR(Merged_data[[#This Row],[AAPL_Close]]/Merged_data!B73-1,"")</f>
        <v>1.1874395285424999E-3</v>
      </c>
      <c r="D74" s="4">
        <f t="shared" si="1"/>
        <v>1.1700392282499817E-2</v>
      </c>
      <c r="E74" s="4">
        <v>-4.000660718025806E-3</v>
      </c>
      <c r="F74">
        <v>72</v>
      </c>
    </row>
    <row r="75" spans="1:6" x14ac:dyDescent="0.25">
      <c r="A75" s="4">
        <f>IFERROR(Merged_data[[#This Row],[BTCUSD_Close]]/Merged_data!D74-1,"")</f>
        <v>-1.9404092667500761E-2</v>
      </c>
      <c r="B75" s="4">
        <f>IFERROR(Merged_data[[#This Row],[XAUUSD_Close]]/Merged_data!C74-1, "")</f>
        <v>-3.5986375726648756E-3</v>
      </c>
      <c r="C75" s="4">
        <f>IFERROR(Merged_data[[#This Row],[AAPL_Close]]/Merged_data!B74-1,"")</f>
        <v>2.1831759279595797E-2</v>
      </c>
      <c r="D75" s="4">
        <f t="shared" si="1"/>
        <v>-7.1115504543743917E-4</v>
      </c>
      <c r="E75" s="4">
        <v>-3.9346429270303183E-3</v>
      </c>
      <c r="F75">
        <v>73</v>
      </c>
    </row>
    <row r="76" spans="1:6" x14ac:dyDescent="0.25">
      <c r="A76" s="4">
        <f>IFERROR(Merged_data[[#This Row],[BTCUSD_Close]]/Merged_data!D75-1,"")</f>
        <v>2.3867092887183583E-2</v>
      </c>
      <c r="B76" s="4">
        <f>IFERROR(Merged_data[[#This Row],[XAUUSD_Close]]/Merged_data!C75-1, "")</f>
        <v>2.184581616383241E-3</v>
      </c>
      <c r="C76" s="4">
        <f>IFERROR(Merged_data[[#This Row],[AAPL_Close]]/Merged_data!B75-1,"")</f>
        <v>1.8270140142722102E-2</v>
      </c>
      <c r="D76" s="4">
        <f t="shared" si="1"/>
        <v>1.3515002555525001E-2</v>
      </c>
      <c r="E76" s="4">
        <v>-3.7700782563932387E-3</v>
      </c>
      <c r="F76">
        <v>74</v>
      </c>
    </row>
    <row r="77" spans="1:6" x14ac:dyDescent="0.25">
      <c r="A77" s="4">
        <f>IFERROR(Merged_data[[#This Row],[BTCUSD_Close]]/Merged_data!D76-1,"")</f>
        <v>-1.4897114629678243E-2</v>
      </c>
      <c r="B77" s="4">
        <f>IFERROR(Merged_data[[#This Row],[XAUUSD_Close]]/Merged_data!C76-1, "")</f>
        <v>8.343922504485235E-3</v>
      </c>
      <c r="C77" s="4">
        <f>IFERROR(Merged_data[[#This Row],[AAPL_Close]]/Merged_data!B76-1,"")</f>
        <v>1.9673238485245159E-2</v>
      </c>
      <c r="D77" s="4">
        <f t="shared" si="1"/>
        <v>4.7704061584641702E-3</v>
      </c>
      <c r="E77" s="4">
        <v>-3.7226572463312617E-3</v>
      </c>
      <c r="F77">
        <v>75</v>
      </c>
    </row>
    <row r="78" spans="1:6" x14ac:dyDescent="0.25">
      <c r="A78" s="4">
        <f>IFERROR(Merged_data[[#This Row],[BTCUSD_Close]]/Merged_data!D77-1,"")</f>
        <v>8.2295216707277685E-3</v>
      </c>
      <c r="B78" s="4">
        <f>IFERROR(Merged_data[[#This Row],[XAUUSD_Close]]/Merged_data!C77-1, "")</f>
        <v>-1.467825991926619E-2</v>
      </c>
      <c r="C78" s="4">
        <f>IFERROR(Merged_data[[#This Row],[AAPL_Close]]/Merged_data!B77-1,"")</f>
        <v>1.2710636359872352E-2</v>
      </c>
      <c r="D78" s="4">
        <f t="shared" si="1"/>
        <v>4.107434414735594E-4</v>
      </c>
      <c r="E78" s="4">
        <v>-3.6887666281501747E-3</v>
      </c>
      <c r="F78">
        <v>76</v>
      </c>
    </row>
    <row r="79" spans="1:6" x14ac:dyDescent="0.25">
      <c r="A79" s="4">
        <f>IFERROR(Merged_data[[#This Row],[BTCUSD_Close]]/Merged_data!D78-1,"")</f>
        <v>-1.9415686944563859E-2</v>
      </c>
      <c r="B79" s="4">
        <f>IFERROR(Merged_data[[#This Row],[XAUUSD_Close]]/Merged_data!C78-1, "")</f>
        <v>1.7375119577423881E-2</v>
      </c>
      <c r="C79" s="4">
        <f>IFERROR(Merged_data[[#This Row],[AAPL_Close]]/Merged_data!B78-1,"")</f>
        <v>-5.3147996729352442E-4</v>
      </c>
      <c r="D79" s="4">
        <f t="shared" si="1"/>
        <v>9.6589775741233767E-4</v>
      </c>
      <c r="E79" s="4">
        <v>-3.6574616032206686E-3</v>
      </c>
      <c r="F79">
        <v>77</v>
      </c>
    </row>
    <row r="80" spans="1:6" x14ac:dyDescent="0.25">
      <c r="A80" s="4">
        <f>IFERROR(Merged_data[[#This Row],[BTCUSD_Close]]/Merged_data!D79-1,"")</f>
        <v>1.3233319792457232E-2</v>
      </c>
      <c r="B80" s="4">
        <f>IFERROR(Merged_data[[#This Row],[XAUUSD_Close]]/Merged_data!C79-1, "")</f>
        <v>-8.0060232549417076E-4</v>
      </c>
      <c r="C80" s="4">
        <f>IFERROR(Merged_data[[#This Row],[AAPL_Close]]/Merged_data!B79-1,"")</f>
        <v>1.636192579866691E-3</v>
      </c>
      <c r="D80" s="4">
        <f t="shared" si="1"/>
        <v>4.1406127814995084E-3</v>
      </c>
      <c r="E80" s="4">
        <v>-3.6438084376040902E-3</v>
      </c>
      <c r="F80">
        <v>78</v>
      </c>
    </row>
    <row r="81" spans="1:6" x14ac:dyDescent="0.25">
      <c r="A81" s="4">
        <f>IFERROR(Merged_data[[#This Row],[BTCUSD_Close]]/Merged_data!D80-1,"")</f>
        <v>1.6803449368990142E-2</v>
      </c>
      <c r="B81" s="4">
        <f>IFERROR(Merged_data[[#This Row],[XAUUSD_Close]]/Merged_data!C80-1, "")</f>
        <v>2.2963306443364306E-3</v>
      </c>
      <c r="C81" s="4">
        <f>IFERROR(Merged_data[[#This Row],[AAPL_Close]]/Merged_data!B80-1,"")</f>
        <v>3.9204475844325515E-3</v>
      </c>
      <c r="D81" s="4">
        <f t="shared" si="1"/>
        <v>7.13570134376138E-3</v>
      </c>
      <c r="E81" s="4">
        <v>-3.5832277566677281E-3</v>
      </c>
      <c r="F81">
        <v>79</v>
      </c>
    </row>
    <row r="82" spans="1:6" x14ac:dyDescent="0.25">
      <c r="A82" s="4">
        <f>IFERROR(Merged_data[[#This Row],[BTCUSD_Close]]/Merged_data!D81-1,"")</f>
        <v>-3.062665435894929E-2</v>
      </c>
      <c r="B82" s="4">
        <f>IFERROR(Merged_data[[#This Row],[XAUUSD_Close]]/Merged_data!C81-1, "")</f>
        <v>-1.6175257468937776E-3</v>
      </c>
      <c r="C82" s="4">
        <f>IFERROR(Merged_data[[#This Row],[AAPL_Close]]/Merged_data!B81-1,"")</f>
        <v>-1.1389984948948495E-3</v>
      </c>
      <c r="D82" s="4">
        <f t="shared" si="1"/>
        <v>-1.0176706154910753E-2</v>
      </c>
      <c r="E82" s="4">
        <v>-3.5331446944174665E-3</v>
      </c>
      <c r="F82">
        <v>80</v>
      </c>
    </row>
    <row r="83" spans="1:6" x14ac:dyDescent="0.25">
      <c r="A83" s="4">
        <f>IFERROR(Merged_data[[#This Row],[BTCUSD_Close]]/Merged_data!D82-1,"")</f>
        <v>-2.8443261673382736E-2</v>
      </c>
      <c r="B83" s="4">
        <f>IFERROR(Merged_data[[#This Row],[XAUUSD_Close]]/Merged_data!C82-1, "")</f>
        <v>6.0785302495469651E-3</v>
      </c>
      <c r="C83" s="4">
        <f>IFERROR(Merged_data[[#This Row],[AAPL_Close]]/Merged_data!B82-1,"")</f>
        <v>6.605579311748988E-3</v>
      </c>
      <c r="D83" s="4">
        <f t="shared" si="1"/>
        <v>-4.1198926086713382E-3</v>
      </c>
      <c r="E83" s="4">
        <v>-3.5217242607047949E-3</v>
      </c>
      <c r="F83">
        <v>81</v>
      </c>
    </row>
    <row r="84" spans="1:6" x14ac:dyDescent="0.25">
      <c r="A84" s="4">
        <f>IFERROR(Merged_data[[#This Row],[BTCUSD_Close]]/Merged_data!D83-1,"")</f>
        <v>-4.0224973387452789E-2</v>
      </c>
      <c r="B84" s="4">
        <f>IFERROR(Merged_data[[#This Row],[XAUUSD_Close]]/Merged_data!C83-1, "")</f>
        <v>-1.2789728931576039E-2</v>
      </c>
      <c r="C84" s="4">
        <f>IFERROR(Merged_data[[#This Row],[AAPL_Close]]/Merged_data!B83-1,"")</f>
        <v>-5.340410726134559E-4</v>
      </c>
      <c r="D84" s="4">
        <f t="shared" si="1"/>
        <v>-1.7343595910650288E-2</v>
      </c>
      <c r="E84" s="4">
        <v>-3.2831703186943827E-3</v>
      </c>
      <c r="F84">
        <v>82</v>
      </c>
    </row>
    <row r="85" spans="1:6" x14ac:dyDescent="0.25">
      <c r="A85" s="4">
        <f>IFERROR(Merged_data[[#This Row],[BTCUSD_Close]]/Merged_data!D84-1,"")</f>
        <v>-5.0717262196613433E-2</v>
      </c>
      <c r="B85" s="4">
        <f>IFERROR(Merged_data[[#This Row],[XAUUSD_Close]]/Merged_data!C84-1, "")</f>
        <v>4.7512945991345923E-4</v>
      </c>
      <c r="C85" s="4">
        <f>IFERROR(Merged_data[[#This Row],[AAPL_Close]]/Merged_data!B84-1,"")</f>
        <v>-2.7040155440414382E-2</v>
      </c>
      <c r="D85" s="4">
        <f t="shared" si="1"/>
        <v>-2.313717350714296E-2</v>
      </c>
      <c r="E85" s="4">
        <v>-3.1425268765639005E-3</v>
      </c>
      <c r="F85">
        <v>83</v>
      </c>
    </row>
    <row r="86" spans="1:6" x14ac:dyDescent="0.25">
      <c r="A86" s="4">
        <f>IFERROR(Merged_data[[#This Row],[BTCUSD_Close]]/Merged_data!D85-1,"")</f>
        <v>4.5690022643158912E-3</v>
      </c>
      <c r="B86" s="4">
        <f>IFERROR(Merged_data[[#This Row],[XAUUSD_Close]]/Merged_data!C85-1, "")</f>
        <v>-1.347903908269843E-2</v>
      </c>
      <c r="C86" s="4">
        <f>IFERROR(Merged_data[[#This Row],[AAPL_Close]]/Merged_data!B85-1,"")</f>
        <v>-1.273090364453322E-2</v>
      </c>
      <c r="D86" s="4">
        <f t="shared" si="1"/>
        <v>-7.840186047144572E-3</v>
      </c>
      <c r="E86" s="4">
        <v>-2.9748855352339943E-3</v>
      </c>
      <c r="F86">
        <v>84</v>
      </c>
    </row>
    <row r="87" spans="1:6" x14ac:dyDescent="0.25">
      <c r="A87" s="4">
        <f>IFERROR(Merged_data[[#This Row],[BTCUSD_Close]]/Merged_data!D86-1,"")</f>
        <v>-5.6285422170214705E-3</v>
      </c>
      <c r="B87" s="4">
        <f>IFERROR(Merged_data[[#This Row],[XAUUSD_Close]]/Merged_data!C86-1, "")</f>
        <v>-7.6901152909035764E-3</v>
      </c>
      <c r="C87" s="4">
        <f>IFERROR(Merged_data[[#This Row],[AAPL_Close]]/Merged_data!B86-1,"")</f>
        <v>1.913190054782965E-2</v>
      </c>
      <c r="D87" s="4">
        <f t="shared" si="1"/>
        <v>9.7496138288102364E-4</v>
      </c>
      <c r="E87" s="4">
        <v>-2.9513318472001336E-3</v>
      </c>
      <c r="F87">
        <v>85</v>
      </c>
    </row>
    <row r="88" spans="1:6" x14ac:dyDescent="0.25">
      <c r="A88" s="4">
        <f>IFERROR(Merged_data[[#This Row],[BTCUSD_Close]]/Merged_data!D87-1,"")</f>
        <v>2.9080582871637617E-2</v>
      </c>
      <c r="B88" s="4">
        <f>IFERROR(Merged_data[[#This Row],[XAUUSD_Close]]/Merged_data!C87-1, "")</f>
        <v>1.3266455220678486E-2</v>
      </c>
      <c r="C88" s="4">
        <f>IFERROR(Merged_data[[#This Row],[AAPL_Close]]/Merged_data!B87-1,"")</f>
        <v>-1.5754217664571635E-2</v>
      </c>
      <c r="D88" s="4">
        <f t="shared" si="1"/>
        <v>9.3044916503911869E-3</v>
      </c>
      <c r="E88" s="4">
        <v>-2.8237772305438778E-3</v>
      </c>
      <c r="F88">
        <v>86</v>
      </c>
    </row>
    <row r="89" spans="1:6" x14ac:dyDescent="0.25">
      <c r="A89" s="4">
        <f>IFERROR(Merged_data[[#This Row],[BTCUSD_Close]]/Merged_data!D88-1,"")</f>
        <v>1.0188877132837559E-2</v>
      </c>
      <c r="B89" s="4">
        <f>IFERROR(Merged_data[[#This Row],[XAUUSD_Close]]/Merged_data!C88-1, "")</f>
        <v>8.7008524553893185E-3</v>
      </c>
      <c r="C89" s="4">
        <f>IFERROR(Merged_data[[#This Row],[AAPL_Close]]/Merged_data!B88-1,"")</f>
        <v>-8.8224173423517849E-3</v>
      </c>
      <c r="D89" s="4">
        <f t="shared" si="1"/>
        <v>3.8902789193014601E-3</v>
      </c>
      <c r="E89" s="4">
        <v>-2.6796007117923515E-3</v>
      </c>
      <c r="F89">
        <v>87</v>
      </c>
    </row>
    <row r="90" spans="1:6" x14ac:dyDescent="0.25">
      <c r="A90" s="4">
        <f>IFERROR(Merged_data[[#This Row],[BTCUSD_Close]]/Merged_data!D89-1,"")</f>
        <v>3.4188268735800165E-2</v>
      </c>
      <c r="B90" s="4">
        <f>IFERROR(Merged_data[[#This Row],[XAUUSD_Close]]/Merged_data!C89-1, "")</f>
        <v>4.0438795198083355E-4</v>
      </c>
      <c r="C90" s="4">
        <f>IFERROR(Merged_data[[#This Row],[AAPL_Close]]/Merged_data!B89-1,"")</f>
        <v>-8.053236129360597E-4</v>
      </c>
      <c r="D90" s="4">
        <f t="shared" si="1"/>
        <v>1.0176638717651565E-2</v>
      </c>
      <c r="E90" s="4">
        <v>-2.351296163626726E-3</v>
      </c>
      <c r="F90">
        <v>88</v>
      </c>
    </row>
    <row r="91" spans="1:6" x14ac:dyDescent="0.25">
      <c r="A91" s="4">
        <f>IFERROR(Merged_data[[#This Row],[BTCUSD_Close]]/Merged_data!D90-1,"")</f>
        <v>-1.6517979057324439E-3</v>
      </c>
      <c r="B91" s="4">
        <f>IFERROR(Merged_data[[#This Row],[XAUUSD_Close]]/Merged_data!C90-1, "")</f>
        <v>-2.7507819003347311E-3</v>
      </c>
      <c r="C91" s="4">
        <f>IFERROR(Merged_data[[#This Row],[AAPL_Close]]/Merged_data!B90-1,"")</f>
        <v>-1.7392042080257575E-3</v>
      </c>
      <c r="D91" s="4">
        <f t="shared" si="1"/>
        <v>-2.1176133942613527E-3</v>
      </c>
      <c r="E91" s="4">
        <v>-2.3265143857711832E-3</v>
      </c>
      <c r="F91">
        <v>89</v>
      </c>
    </row>
    <row r="92" spans="1:6" x14ac:dyDescent="0.25">
      <c r="A92" s="4">
        <f>IFERROR(Merged_data[[#This Row],[BTCUSD_Close]]/Merged_data!D91-1,"")</f>
        <v>-2.8715080705445817E-2</v>
      </c>
      <c r="B92" s="4">
        <f>IFERROR(Merged_data[[#This Row],[XAUUSD_Close]]/Merged_data!C91-1, "")</f>
        <v>-6.1144431391124687E-4</v>
      </c>
      <c r="C92" s="4">
        <f>IFERROR(Merged_data[[#This Row],[AAPL_Close]]/Merged_data!B91-1,"")</f>
        <v>1.589257638210162E-2</v>
      </c>
      <c r="D92" s="4">
        <f t="shared" si="1"/>
        <v>-4.0913290225677579E-3</v>
      </c>
      <c r="E92" s="4">
        <v>-2.3058695371833914E-3</v>
      </c>
      <c r="F92">
        <v>90</v>
      </c>
    </row>
    <row r="93" spans="1:6" x14ac:dyDescent="0.25">
      <c r="A93" s="4">
        <f>IFERROR(Merged_data[[#This Row],[BTCUSD_Close]]/Merged_data!D92-1,"")</f>
        <v>-9.4080584142678947E-2</v>
      </c>
      <c r="B93" s="4">
        <f>IFERROR(Merged_data[[#This Row],[XAUUSD_Close]]/Merged_data!C92-1, "")</f>
        <v>-8.3798498638876229E-3</v>
      </c>
      <c r="C93" s="4">
        <f>IFERROR(Merged_data[[#This Row],[AAPL_Close]]/Merged_data!B92-1,"")</f>
        <v>-4.8479524825364995E-2</v>
      </c>
      <c r="D93" s="4">
        <f t="shared" si="1"/>
        <v>-4.6119972635968232E-2</v>
      </c>
      <c r="E93" s="4">
        <v>-2.2705879155338064E-3</v>
      </c>
      <c r="F93">
        <v>91</v>
      </c>
    </row>
    <row r="94" spans="1:6" x14ac:dyDescent="0.25">
      <c r="A94" s="4">
        <f>IFERROR(Merged_data[[#This Row],[BTCUSD_Close]]/Merged_data!D93-1,"")</f>
        <v>4.6044657679416678E-2</v>
      </c>
      <c r="B94" s="4">
        <f>IFERROR(Merged_data[[#This Row],[XAUUSD_Close]]/Merged_data!C93-1, "")</f>
        <v>1.1275641425590566E-2</v>
      </c>
      <c r="C94" s="4">
        <f>IFERROR(Merged_data[[#This Row],[AAPL_Close]]/Merged_data!B93-1,"")</f>
        <v>-2.9189379286091E-2</v>
      </c>
      <c r="D94" s="4">
        <f t="shared" si="1"/>
        <v>9.5668400882339289E-3</v>
      </c>
      <c r="E94" s="4">
        <v>-2.1998702328450245E-3</v>
      </c>
      <c r="F94">
        <v>92</v>
      </c>
    </row>
    <row r="95" spans="1:6" x14ac:dyDescent="0.25">
      <c r="A95" s="4">
        <f>IFERROR(Merged_data[[#This Row],[BTCUSD_Close]]/Merged_data!D94-1,"")</f>
        <v>6.2891265610016678E-3</v>
      </c>
      <c r="B95" s="4">
        <f>IFERROR(Merged_data[[#This Row],[XAUUSD_Close]]/Merged_data!C94-1, "")</f>
        <v>7.0779534603135907E-3</v>
      </c>
      <c r="C95" s="4">
        <f>IFERROR(Merged_data[[#This Row],[AAPL_Close]]/Merged_data!B94-1,"")</f>
        <v>-1.7478717623618967E-2</v>
      </c>
      <c r="D95" s="4">
        <f t="shared" si="1"/>
        <v>-5.2569593465975287E-4</v>
      </c>
      <c r="E95" s="4">
        <v>-2.1176133942613527E-3</v>
      </c>
      <c r="F95">
        <v>93</v>
      </c>
    </row>
    <row r="96" spans="1:6" x14ac:dyDescent="0.25">
      <c r="A96" s="4">
        <f>IFERROR(Merged_data[[#This Row],[BTCUSD_Close]]/Merged_data!D95-1,"")</f>
        <v>-2.716705087858573E-2</v>
      </c>
      <c r="B96" s="4">
        <f>IFERROR(Merged_data[[#This Row],[XAUUSD_Close]]/Merged_data!C95-1, "")</f>
        <v>1.6733261633130825E-2</v>
      </c>
      <c r="C96" s="4">
        <f>IFERROR(Merged_data[[#This Row],[AAPL_Close]]/Merged_data!B95-1,"")</f>
        <v>-3.364365379297618E-2</v>
      </c>
      <c r="D96" s="4">
        <f t="shared" si="1"/>
        <v>-1.1549906748216241E-2</v>
      </c>
      <c r="E96" s="4">
        <v>-2.0582025239424444E-3</v>
      </c>
      <c r="F96">
        <v>94</v>
      </c>
    </row>
    <row r="97" spans="1:6" x14ac:dyDescent="0.25">
      <c r="A97" s="4">
        <f>IFERROR(Merged_data[[#This Row],[BTCUSD_Close]]/Merged_data!D96-1,"")</f>
        <v>3.4230841556838865E-2</v>
      </c>
      <c r="B97" s="4">
        <f>IFERROR(Merged_data[[#This Row],[XAUUSD_Close]]/Merged_data!C96-1, "")</f>
        <v>-7.6322462403644042E-4</v>
      </c>
      <c r="C97" s="4">
        <f>IFERROR(Merged_data[[#This Row],[AAPL_Close]]/Merged_data!B96-1,"")</f>
        <v>1.8170545593285015E-2</v>
      </c>
      <c r="D97" s="4">
        <f t="shared" si="1"/>
        <v>1.5415126295422587E-2</v>
      </c>
      <c r="E97" s="4">
        <v>-1.6551593903095128E-3</v>
      </c>
      <c r="F97">
        <v>95</v>
      </c>
    </row>
    <row r="98" spans="1:6" x14ac:dyDescent="0.25">
      <c r="A98" s="4">
        <f>IFERROR(Merged_data[[#This Row],[BTCUSD_Close]]/Merged_data!D97-1,"")</f>
        <v>-1.0921311888423268E-3</v>
      </c>
      <c r="B98" s="4">
        <f>IFERROR(Merged_data[[#This Row],[XAUUSD_Close]]/Merged_data!C97-1, "")</f>
        <v>5.1054506715977332E-3</v>
      </c>
      <c r="C98" s="4">
        <f>IFERROR(Merged_data[[#This Row],[AAPL_Close]]/Merged_data!B97-1,"")</f>
        <v>2.3888706730994524E-3</v>
      </c>
      <c r="D98" s="4">
        <f t="shared" si="1"/>
        <v>2.431202113916231E-3</v>
      </c>
      <c r="E98" s="4">
        <v>-1.5637475247486821E-3</v>
      </c>
      <c r="F98">
        <v>96</v>
      </c>
    </row>
    <row r="99" spans="1:6" x14ac:dyDescent="0.25">
      <c r="A99" s="4">
        <f>IFERROR(Merged_data[[#This Row],[BTCUSD_Close]]/Merged_data!D98-1,"")</f>
        <v>-2.0049848017083982E-2</v>
      </c>
      <c r="B99" s="4">
        <f>IFERROR(Merged_data[[#This Row],[XAUUSD_Close]]/Merged_data!C98-1, "")</f>
        <v>1.1420581711404143E-2</v>
      </c>
      <c r="C99" s="4">
        <f>IFERROR(Merged_data[[#This Row],[AAPL_Close]]/Merged_data!B98-1,"")</f>
        <v>-6.1214953271028216E-3</v>
      </c>
      <c r="D99" s="4">
        <f t="shared" si="1"/>
        <v>-3.2831703186943827E-3</v>
      </c>
      <c r="E99" s="4">
        <v>-1.5335122906307121E-3</v>
      </c>
      <c r="F99">
        <v>97</v>
      </c>
    </row>
    <row r="100" spans="1:6" x14ac:dyDescent="0.25">
      <c r="A100" s="4">
        <f>IFERROR(Merged_data[[#This Row],[BTCUSD_Close]]/Merged_data!D99-1,"")</f>
        <v>4.5874600280198408E-2</v>
      </c>
      <c r="B100" s="4">
        <f>IFERROR(Merged_data[[#This Row],[XAUUSD_Close]]/Merged_data!C99-1, "")</f>
        <v>5.1605674646981736E-3</v>
      </c>
      <c r="C100" s="4">
        <f>IFERROR(Merged_data[[#This Row],[AAPL_Close]]/Merged_data!B99-1,"")</f>
        <v>1.1989280173021921E-2</v>
      </c>
      <c r="D100" s="4">
        <f t="shared" si="1"/>
        <v>1.9423391121845365E-2</v>
      </c>
      <c r="E100" s="4">
        <v>-1.2649575725644626E-3</v>
      </c>
      <c r="F100">
        <v>98</v>
      </c>
    </row>
    <row r="101" spans="1:6" x14ac:dyDescent="0.25">
      <c r="A101" s="4">
        <f>IFERROR(Merged_data[[#This Row],[BTCUSD_Close]]/Merged_data!D100-1,"")</f>
        <v>-2.3865655858635426E-2</v>
      </c>
      <c r="B101" s="4">
        <f>IFERROR(Merged_data[[#This Row],[XAUUSD_Close]]/Merged_data!C100-1, "")</f>
        <v>-1.4425236295205757E-3</v>
      </c>
      <c r="C101" s="4">
        <f>IFERROR(Merged_data[[#This Row],[AAPL_Close]]/Merged_data!B100-1,"")</f>
        <v>-5.2964133060769969E-3</v>
      </c>
      <c r="D101" s="4">
        <f t="shared" si="1"/>
        <v>-9.3256302012219572E-3</v>
      </c>
      <c r="E101" s="4">
        <v>-1.1851783450492763E-3</v>
      </c>
      <c r="F101">
        <v>99</v>
      </c>
    </row>
    <row r="102" spans="1:6" x14ac:dyDescent="0.25">
      <c r="A102" s="4">
        <f>IFERROR(Merged_data[[#This Row],[BTCUSD_Close]]/Merged_data!D101-1,"")</f>
        <v>9.263564462635987E-4</v>
      </c>
      <c r="B102" s="4">
        <f>IFERROR(Merged_data[[#This Row],[XAUUSD_Close]]/Merged_data!C101-1, "")</f>
        <v>-7.2131879532866261E-3</v>
      </c>
      <c r="C102" s="4">
        <f>IFERROR(Merged_data[[#This Row],[AAPL_Close]]/Merged_data!B101-1,"")</f>
        <v>1.9476879962634364E-2</v>
      </c>
      <c r="D102" s="4">
        <f t="shared" si="1"/>
        <v>3.2356957413547383E-3</v>
      </c>
      <c r="E102" s="4">
        <v>-1.1659455018205988E-3</v>
      </c>
      <c r="F102">
        <v>100</v>
      </c>
    </row>
    <row r="103" spans="1:6" x14ac:dyDescent="0.25">
      <c r="A103" s="4">
        <f>IFERROR(Merged_data[[#This Row],[BTCUSD_Close]]/Merged_data!D102-1,"")</f>
        <v>3.8804430990319716E-2</v>
      </c>
      <c r="B103" s="4">
        <f>IFERROR(Merged_data[[#This Row],[XAUUSD_Close]]/Merged_data!C102-1, "")</f>
        <v>-4.061061431821833E-3</v>
      </c>
      <c r="C103" s="4">
        <f>IFERROR(Merged_data[[#This Row],[AAPL_Close]]/Merged_data!B102-1,"")</f>
        <v>1.1270444861868123E-2</v>
      </c>
      <c r="D103" s="4">
        <f t="shared" si="1"/>
        <v>1.3398038182927619E-2</v>
      </c>
      <c r="E103" s="4">
        <v>-1.0708438438422844E-3</v>
      </c>
      <c r="F103">
        <v>101</v>
      </c>
    </row>
    <row r="104" spans="1:6" x14ac:dyDescent="0.25">
      <c r="A104" s="4">
        <f>IFERROR(Merged_data[[#This Row],[BTCUSD_Close]]/Merged_data!D103-1,"")</f>
        <v>6.3817377082941995E-4</v>
      </c>
      <c r="B104" s="4">
        <f>IFERROR(Merged_data[[#This Row],[XAUUSD_Close]]/Merged_data!C103-1, "")</f>
        <v>3.2740506581308004E-3</v>
      </c>
      <c r="C104" s="4">
        <f>IFERROR(Merged_data[[#This Row],[AAPL_Close]]/Merged_data!B103-1,"")</f>
        <v>1.3681873782449117E-2</v>
      </c>
      <c r="D104" s="4">
        <f t="shared" si="1"/>
        <v>5.6056345292358808E-3</v>
      </c>
      <c r="E104" s="4">
        <v>-7.1115504543743917E-4</v>
      </c>
      <c r="F104">
        <v>102</v>
      </c>
    </row>
    <row r="105" spans="1:6" x14ac:dyDescent="0.25">
      <c r="A105" s="4">
        <f>IFERROR(Merged_data[[#This Row],[BTCUSD_Close]]/Merged_data!D104-1,"")</f>
        <v>-7.5286194978329002E-3</v>
      </c>
      <c r="B105" s="4">
        <f>IFERROR(Merged_data[[#This Row],[XAUUSD_Close]]/Merged_data!C104-1, "")</f>
        <v>-6.9503743273024998E-4</v>
      </c>
      <c r="C105" s="4">
        <f>IFERROR(Merged_data[[#This Row],[AAPL_Close]]/Merged_data!B104-1,"")</f>
        <v>-9.921787709497254E-3</v>
      </c>
      <c r="D105" s="4">
        <f t="shared" si="1"/>
        <v>-5.5131371352911459E-3</v>
      </c>
      <c r="E105" s="4">
        <v>-6.7722998766391821E-4</v>
      </c>
      <c r="F105">
        <v>103</v>
      </c>
    </row>
    <row r="106" spans="1:6" x14ac:dyDescent="0.25">
      <c r="A106" s="4">
        <f>IFERROR(Merged_data[[#This Row],[BTCUSD_Close]]/Merged_data!D105-1,"")</f>
        <v>6.0022502680399104E-3</v>
      </c>
      <c r="B106" s="4">
        <f>IFERROR(Merged_data[[#This Row],[XAUUSD_Close]]/Merged_data!C105-1, "")</f>
        <v>1.189009445835465E-2</v>
      </c>
      <c r="C106" s="4">
        <f>IFERROR(Merged_data[[#This Row],[AAPL_Close]]/Merged_data!B105-1,"")</f>
        <v>1.047262221820966E-2</v>
      </c>
      <c r="D106" s="4">
        <f t="shared" si="1"/>
        <v>9.6984995292167305E-3</v>
      </c>
      <c r="E106" s="4">
        <v>-6.7643597326592052E-4</v>
      </c>
      <c r="F106">
        <v>104</v>
      </c>
    </row>
    <row r="107" spans="1:6" x14ac:dyDescent="0.25">
      <c r="A107" s="4">
        <f>IFERROR(Merged_data[[#This Row],[BTCUSD_Close]]/Merged_data!D106-1,"")</f>
        <v>-4.1135454860781295E-2</v>
      </c>
      <c r="B107" s="4">
        <f>IFERROR(Merged_data[[#This Row],[XAUUSD_Close]]/Merged_data!C106-1, "")</f>
        <v>9.8290794116300262E-3</v>
      </c>
      <c r="C107" s="4">
        <f>IFERROR(Merged_data[[#This Row],[AAPL_Close]]/Merged_data!B106-1,"")</f>
        <v>-2.6580299307571997E-2</v>
      </c>
      <c r="D107" s="4">
        <f t="shared" si="1"/>
        <v>-1.6383094485853976E-2</v>
      </c>
      <c r="E107" s="4">
        <v>-5.2569593465975287E-4</v>
      </c>
      <c r="F107">
        <v>105</v>
      </c>
    </row>
    <row r="108" spans="1:6" x14ac:dyDescent="0.25">
      <c r="A108" s="4">
        <f>IFERROR(Merged_data[[#This Row],[BTCUSD_Close]]/Merged_data!D107-1,"")</f>
        <v>-1.4837294760505548E-2</v>
      </c>
      <c r="B108" s="4">
        <f>IFERROR(Merged_data[[#This Row],[XAUUSD_Close]]/Merged_data!C107-1, "")</f>
        <v>1.232477108824237E-2</v>
      </c>
      <c r="C108" s="4">
        <f>IFERROR(Merged_data[[#This Row],[AAPL_Close]]/Merged_data!B107-1,"")</f>
        <v>1.9412574575493391E-2</v>
      </c>
      <c r="D108" s="4">
        <f t="shared" si="1"/>
        <v>6.3024923797933008E-3</v>
      </c>
      <c r="E108" s="4">
        <v>-4.6824164877518087E-4</v>
      </c>
      <c r="F108">
        <v>106</v>
      </c>
    </row>
    <row r="109" spans="1:6" x14ac:dyDescent="0.25">
      <c r="A109" s="4">
        <f>IFERROR(Merged_data[[#This Row],[BTCUSD_Close]]/Merged_data!D108-1,"")</f>
        <v>3.2204665344144567E-2</v>
      </c>
      <c r="B109" s="4">
        <f>IFERROR(Merged_data[[#This Row],[XAUUSD_Close]]/Merged_data!C108-1, "")</f>
        <v>-2.8543756153396327E-3</v>
      </c>
      <c r="C109" s="4">
        <f>IFERROR(Merged_data[[#This Row],[AAPL_Close]]/Merged_data!B108-1,"")</f>
        <v>4.7719803718542231E-3</v>
      </c>
      <c r="D109" s="4">
        <f t="shared" si="1"/>
        <v>9.9512434686637834E-3</v>
      </c>
      <c r="E109" s="4">
        <v>-4.6553373899868014E-4</v>
      </c>
      <c r="F109">
        <v>107</v>
      </c>
    </row>
    <row r="110" spans="1:6" x14ac:dyDescent="0.25">
      <c r="A110" s="4">
        <f>IFERROR(Merged_data[[#This Row],[BTCUSD_Close]]/Merged_data!D109-1,"")</f>
        <v>-4.5106285059512974E-3</v>
      </c>
      <c r="B110" s="4">
        <f>IFERROR(Merged_data[[#This Row],[XAUUSD_Close]]/Merged_data!C109-1, "")</f>
        <v>6.8087825428018167E-3</v>
      </c>
      <c r="C110" s="4">
        <f>IFERROR(Merged_data[[#This Row],[AAPL_Close]]/Merged_data!B109-1,"")</f>
        <v>3.1363412339262542E-3</v>
      </c>
      <c r="D110" s="4">
        <f t="shared" si="1"/>
        <v>2.3112268355132137E-3</v>
      </c>
      <c r="E110" s="4">
        <v>-3.9926801523807527E-4</v>
      </c>
      <c r="F110">
        <v>108</v>
      </c>
    </row>
    <row r="111" spans="1:6" x14ac:dyDescent="0.25">
      <c r="A111" s="4">
        <f>IFERROR(Merged_data[[#This Row],[BTCUSD_Close]]/Merged_data!D110-1,"")</f>
        <v>-2.4814723961109619E-2</v>
      </c>
      <c r="B111" s="4">
        <f>IFERROR(Merged_data[[#This Row],[XAUUSD_Close]]/Merged_data!C110-1, "")</f>
        <v>-6.643140869348918E-3</v>
      </c>
      <c r="C111" s="4">
        <f>IFERROR(Merged_data[[#This Row],[AAPL_Close]]/Merged_data!B110-1,"")</f>
        <v>-9.2456116843092517E-2</v>
      </c>
      <c r="D111" s="4">
        <f t="shared" si="1"/>
        <v>-3.7838508589000203E-2</v>
      </c>
      <c r="E111" s="4">
        <v>-1.5678451370441081E-4</v>
      </c>
      <c r="F111">
        <v>109</v>
      </c>
    </row>
    <row r="112" spans="1:6" x14ac:dyDescent="0.25">
      <c r="A112" s="4">
        <f>IFERROR(Merged_data[[#This Row],[BTCUSD_Close]]/Merged_data!D111-1,"")</f>
        <v>1.6063941331482257E-2</v>
      </c>
      <c r="B112" s="4">
        <f>IFERROR(Merged_data[[#This Row],[XAUUSD_Close]]/Merged_data!C111-1, "")</f>
        <v>-2.5154627921797457E-2</v>
      </c>
      <c r="C112" s="4">
        <f>IFERROR(Merged_data[[#This Row],[AAPL_Close]]/Merged_data!B111-1,"")</f>
        <v>-7.2887445248289828E-2</v>
      </c>
      <c r="D112" s="4">
        <f t="shared" si="1"/>
        <v>-2.7108902343761253E-2</v>
      </c>
      <c r="E112" s="4">
        <v>-4.9413907871565139E-5</v>
      </c>
      <c r="F112">
        <v>110</v>
      </c>
    </row>
    <row r="113" spans="1:6" x14ac:dyDescent="0.25">
      <c r="A113" s="4">
        <f>IFERROR(Merged_data[[#This Row],[BTCUSD_Close]]/Merged_data!D112-1,"")</f>
        <v>-5.7414844209358606E-2</v>
      </c>
      <c r="B113" s="4">
        <f>IFERROR(Merged_data[[#This Row],[XAUUSD_Close]]/Merged_data!C112-1, "")</f>
        <v>-1.7504367858489633E-2</v>
      </c>
      <c r="C113" s="4">
        <f>IFERROR(Merged_data[[#This Row],[AAPL_Close]]/Merged_data!B112-1,"")</f>
        <v>-3.673426053721196E-2</v>
      </c>
      <c r="D113" s="4">
        <f t="shared" si="1"/>
        <v>-3.5246478567367026E-2</v>
      </c>
      <c r="E113" s="4">
        <v>4.5227284828264279E-5</v>
      </c>
      <c r="F113">
        <v>111</v>
      </c>
    </row>
    <row r="114" spans="1:6" x14ac:dyDescent="0.25">
      <c r="A114" s="4">
        <f>IFERROR(Merged_data[[#This Row],[BTCUSD_Close]]/Merged_data!D113-1,"")</f>
        <v>-2.7479770888262478E-2</v>
      </c>
      <c r="B114" s="4">
        <f>IFERROR(Merged_data[[#This Row],[XAUUSD_Close]]/Merged_data!C113-1, "")</f>
        <v>-1.340826317739463E-4</v>
      </c>
      <c r="C114" s="4">
        <f>IFERROR(Merged_data[[#This Row],[AAPL_Close]]/Merged_data!B113-1,"")</f>
        <v>-4.9818141739226385E-2</v>
      </c>
      <c r="D114" s="4">
        <f t="shared" si="1"/>
        <v>-2.3243006840956239E-2</v>
      </c>
      <c r="E114" s="4">
        <v>1.2361217201385389E-4</v>
      </c>
      <c r="F114">
        <v>112</v>
      </c>
    </row>
    <row r="115" spans="1:6" x14ac:dyDescent="0.25">
      <c r="A115" s="4">
        <f>IFERROR(Merged_data[[#This Row],[BTCUSD_Close]]/Merged_data!D114-1,"")</f>
        <v>8.1296759399921426E-2</v>
      </c>
      <c r="B115" s="4">
        <f>IFERROR(Merged_data[[#This Row],[XAUUSD_Close]]/Merged_data!C114-1, "")</f>
        <v>3.3560354494968747E-2</v>
      </c>
      <c r="C115" s="4">
        <f>IFERROR(Merged_data[[#This Row],[AAPL_Close]]/Merged_data!B114-1,"")</f>
        <v>0.15328848161466202</v>
      </c>
      <c r="D115" s="4">
        <f t="shared" si="1"/>
        <v>8.3799714102362532E-2</v>
      </c>
      <c r="E115" s="4">
        <v>2.0651790201211564E-4</v>
      </c>
      <c r="F115">
        <v>113</v>
      </c>
    </row>
    <row r="116" spans="1:6" x14ac:dyDescent="0.25">
      <c r="A116" s="4">
        <f>IFERROR(Merged_data[[#This Row],[BTCUSD_Close]]/Merged_data!D115-1,"")</f>
        <v>-4.3294851689165692E-2</v>
      </c>
      <c r="B116" s="4">
        <f>IFERROR(Merged_data[[#This Row],[XAUUSD_Close]]/Merged_data!C115-1, "")</f>
        <v>3.0057347856267125E-2</v>
      </c>
      <c r="C116" s="4">
        <f>IFERROR(Merged_data[[#This Row],[AAPL_Close]]/Merged_data!B115-1,"")</f>
        <v>-4.2393764143827006E-2</v>
      </c>
      <c r="D116" s="4">
        <f t="shared" si="1"/>
        <v>-1.368364560739096E-2</v>
      </c>
      <c r="E116" s="4">
        <v>2.8865225473920816E-4</v>
      </c>
      <c r="F116">
        <v>114</v>
      </c>
    </row>
    <row r="117" spans="1:6" x14ac:dyDescent="0.25">
      <c r="A117" s="4">
        <f>IFERROR(Merged_data[[#This Row],[BTCUSD_Close]]/Merged_data!D116-1,"")</f>
        <v>5.2678283418452931E-2</v>
      </c>
      <c r="B117" s="4">
        <f>IFERROR(Merged_data[[#This Row],[XAUUSD_Close]]/Merged_data!C116-1, "")</f>
        <v>1.7437622122398633E-2</v>
      </c>
      <c r="C117" s="4">
        <f>IFERROR(Merged_data[[#This Row],[AAPL_Close]]/Merged_data!B116-1,"")</f>
        <v>4.0594475370234306E-2</v>
      </c>
      <c r="D117" s="4">
        <f t="shared" si="1"/>
        <v>3.495687648556562E-2</v>
      </c>
      <c r="E117" s="4">
        <v>4.107434414735594E-4</v>
      </c>
      <c r="F117">
        <v>115</v>
      </c>
    </row>
    <row r="118" spans="1:6" x14ac:dyDescent="0.25">
      <c r="A118" s="4">
        <f>IFERROR(Merged_data[[#This Row],[BTCUSD_Close]]/Merged_data!D117-1,"")</f>
        <v>1.0158663539578949E-2</v>
      </c>
      <c r="B118" s="4">
        <f>IFERROR(Merged_data[[#This Row],[XAUUSD_Close]]/Merged_data!C117-1, "")</f>
        <v>-6.2751858569226604E-3</v>
      </c>
      <c r="C118" s="4">
        <f>IFERROR(Merged_data[[#This Row],[AAPL_Close]]/Merged_data!B117-1,"")</f>
        <v>2.2053999495331933E-2</v>
      </c>
      <c r="D118" s="4">
        <f t="shared" si="1"/>
        <v>7.1537245677042007E-3</v>
      </c>
      <c r="E118" s="4">
        <v>4.4082059798185021E-4</v>
      </c>
      <c r="F118">
        <v>116</v>
      </c>
    </row>
    <row r="119" spans="1:6" x14ac:dyDescent="0.25">
      <c r="A119" s="4">
        <f>IFERROR(Merged_data[[#This Row],[BTCUSD_Close]]/Merged_data!D118-1,"")</f>
        <v>-6.0126556131694375E-3</v>
      </c>
      <c r="B119" s="4">
        <f>IFERROR(Merged_data[[#This Row],[XAUUSD_Close]]/Merged_data!C118-1, "")</f>
        <v>6.0298283398818597E-3</v>
      </c>
      <c r="C119" s="4">
        <f>IFERROR(Merged_data[[#This Row],[AAPL_Close]]/Merged_data!B118-1,"")</f>
        <v>-1.8763578905788281E-3</v>
      </c>
      <c r="D119" s="4">
        <f t="shared" si="1"/>
        <v>4.5227284828264279E-5</v>
      </c>
      <c r="E119" s="4">
        <v>5.5301983416823457E-4</v>
      </c>
      <c r="F119">
        <v>117</v>
      </c>
    </row>
    <row r="120" spans="1:6" x14ac:dyDescent="0.25">
      <c r="A120" s="4">
        <f>IFERROR(Merged_data[[#This Row],[BTCUSD_Close]]/Merged_data!D119-1,"")</f>
        <v>3.549379600745306E-3</v>
      </c>
      <c r="B120" s="4">
        <f>IFERROR(Merged_data[[#This Row],[XAUUSD_Close]]/Merged_data!C119-1, "")</f>
        <v>3.498072020222498E-2</v>
      </c>
      <c r="C120" s="4">
        <f>IFERROR(Merged_data[[#This Row],[AAPL_Close]]/Merged_data!B119-1,"")</f>
        <v>-3.893341248639548E-2</v>
      </c>
      <c r="D120" s="4">
        <f t="shared" si="1"/>
        <v>3.3770782151949404E-3</v>
      </c>
      <c r="E120" s="4">
        <v>5.5642299353465645E-4</v>
      </c>
      <c r="F120">
        <v>118</v>
      </c>
    </row>
    <row r="121" spans="1:6" x14ac:dyDescent="0.25">
      <c r="A121" s="4">
        <f>IFERROR(Merged_data[[#This Row],[BTCUSD_Close]]/Merged_data!D120-1,"")</f>
        <v>6.6180890489737632E-3</v>
      </c>
      <c r="B121" s="4">
        <f>IFERROR(Merged_data[[#This Row],[XAUUSD_Close]]/Merged_data!C120-1, "")</f>
        <v>-4.6933119556812342E-3</v>
      </c>
      <c r="C121" s="4">
        <f>IFERROR(Merged_data[[#This Row],[AAPL_Close]]/Merged_data!B120-1,"")</f>
        <v>1.3949657692901463E-2</v>
      </c>
      <c r="D121" s="4">
        <f t="shared" si="1"/>
        <v>4.292999240290073E-3</v>
      </c>
      <c r="E121" s="4">
        <v>6.8443532601540884E-4</v>
      </c>
      <c r="F121">
        <v>119</v>
      </c>
    </row>
    <row r="122" spans="1:6" x14ac:dyDescent="0.25">
      <c r="A122" s="4">
        <f>IFERROR(Merged_data[[#This Row],[BTCUSD_Close]]/Merged_data!D121-1,"")</f>
        <v>2.6029121865379201E-2</v>
      </c>
      <c r="B122" s="4">
        <f>IFERROR(Merged_data[[#This Row],[XAUUSD_Close]]/Merged_data!C121-1, "")</f>
        <v>2.9164218533283881E-2</v>
      </c>
      <c r="C122" s="4">
        <f>IFERROR(Merged_data[[#This Row],[AAPL_Close]]/Merged_data!B121-1,"")</f>
        <v>-1.9392831759569518E-2</v>
      </c>
      <c r="D122" s="4">
        <f t="shared" si="1"/>
        <v>1.3656574445056458E-2</v>
      </c>
      <c r="E122" s="4">
        <v>8.5929516649929617E-4</v>
      </c>
      <c r="F122">
        <v>120</v>
      </c>
    </row>
    <row r="123" spans="1:6" x14ac:dyDescent="0.25">
      <c r="A123" s="4">
        <f>IFERROR(Merged_data[[#This Row],[BTCUSD_Close]]/Merged_data!D122-1,"")</f>
        <v>6.5599351086792268E-2</v>
      </c>
      <c r="B123" s="4">
        <f>IFERROR(Merged_data[[#This Row],[XAUUSD_Close]]/Merged_data!C122-1, "")</f>
        <v>-1.2628471223468107E-2</v>
      </c>
      <c r="C123" s="4">
        <f>IFERROR(Merged_data[[#This Row],[AAPL_Close]]/Merged_data!B122-1,"")</f>
        <v>3.406502381445442E-2</v>
      </c>
      <c r="D123" s="4">
        <f t="shared" si="1"/>
        <v>2.4847923980986765E-2</v>
      </c>
      <c r="E123" s="4">
        <v>9.0716863083886105E-4</v>
      </c>
      <c r="F123">
        <v>121</v>
      </c>
    </row>
    <row r="124" spans="1:6" x14ac:dyDescent="0.25">
      <c r="A124" s="4">
        <f>IFERROR(Merged_data[[#This Row],[BTCUSD_Close]]/Merged_data!D123-1,"")</f>
        <v>5.4144599194496656E-3</v>
      </c>
      <c r="B124" s="4">
        <f>IFERROR(Merged_data[[#This Row],[XAUUSD_Close]]/Merged_data!C123-1, "")</f>
        <v>-2.7455074589785688E-2</v>
      </c>
      <c r="C124" s="4">
        <f>IFERROR(Merged_data[[#This Row],[AAPL_Close]]/Merged_data!B123-1,"")</f>
        <v>2.4331631120456443E-2</v>
      </c>
      <c r="D124" s="4">
        <f t="shared" si="1"/>
        <v>-2.0582025239424444E-3</v>
      </c>
      <c r="E124" s="4">
        <v>9.6589775741233767E-4</v>
      </c>
      <c r="F124">
        <v>122</v>
      </c>
    </row>
    <row r="125" spans="1:6" x14ac:dyDescent="0.25">
      <c r="A125" s="4">
        <f>IFERROR(Merged_data[[#This Row],[BTCUSD_Close]]/Merged_data!D124-1,"")</f>
        <v>-1.4094176474488407E-3</v>
      </c>
      <c r="B125" s="4">
        <f>IFERROR(Merged_data[[#This Row],[XAUUSD_Close]]/Merged_data!C124-1, "")</f>
        <v>1.8631037639166292E-2</v>
      </c>
      <c r="C125" s="4">
        <f>IFERROR(Merged_data[[#This Row],[AAPL_Close]]/Merged_data!B124-1,"")</f>
        <v>1.842619745845564E-2</v>
      </c>
      <c r="D125" s="4">
        <f t="shared" si="1"/>
        <v>1.2557448998968556E-2</v>
      </c>
      <c r="E125" s="4">
        <v>9.7496138288102364E-4</v>
      </c>
      <c r="F125">
        <v>123</v>
      </c>
    </row>
    <row r="126" spans="1:6" x14ac:dyDescent="0.25">
      <c r="A126" s="4">
        <f>IFERROR(Merged_data[[#This Row],[BTCUSD_Close]]/Merged_data!D125-1,"")</f>
        <v>2.0896960870403269E-2</v>
      </c>
      <c r="B126" s="4">
        <f>IFERROR(Merged_data[[#This Row],[XAUUSD_Close]]/Merged_data!C125-1, "")</f>
        <v>-1.331802800039994E-2</v>
      </c>
      <c r="C126" s="4">
        <f>IFERROR(Merged_data[[#This Row],[AAPL_Close]]/Merged_data!B125-1,"")</f>
        <v>4.367231367279345E-3</v>
      </c>
      <c r="D126" s="4">
        <f t="shared" si="1"/>
        <v>2.2520464711448078E-3</v>
      </c>
      <c r="E126" s="4">
        <v>9.8711970759595086E-4</v>
      </c>
      <c r="F126">
        <v>124</v>
      </c>
    </row>
    <row r="127" spans="1:6" x14ac:dyDescent="0.25">
      <c r="A127" s="4">
        <f>IFERROR(Merged_data[[#This Row],[BTCUSD_Close]]/Merged_data!D126-1,"")</f>
        <v>-8.3108333490674591E-3</v>
      </c>
      <c r="B127" s="4">
        <f>IFERROR(Merged_data[[#This Row],[XAUUSD_Close]]/Merged_data!C126-1, "")</f>
        <v>1.1770098805289564E-2</v>
      </c>
      <c r="C127" s="4">
        <f>IFERROR(Merged_data[[#This Row],[AAPL_Close]]/Merged_data!B126-1,"")</f>
        <v>4.1093272171253137E-3</v>
      </c>
      <c r="D127" s="4">
        <f t="shared" si="1"/>
        <v>3.447587682533183E-3</v>
      </c>
      <c r="E127" s="4">
        <v>1.0436733333989753E-3</v>
      </c>
      <c r="F127">
        <v>125</v>
      </c>
    </row>
    <row r="128" spans="1:6" x14ac:dyDescent="0.25">
      <c r="A128" s="4">
        <f>IFERROR(Merged_data[[#This Row],[BTCUSD_Close]]/Merged_data!D127-1,"")</f>
        <v>1.9610518599846305E-3</v>
      </c>
      <c r="B128" s="4">
        <f>IFERROR(Merged_data[[#This Row],[XAUUSD_Close]]/Merged_data!C127-1, "")</f>
        <v>-7.9667811542563083E-3</v>
      </c>
      <c r="C128" s="4">
        <f>IFERROR(Merged_data[[#This Row],[AAPL_Close]]/Merged_data!B127-1,"")</f>
        <v>5.0918435328828338E-3</v>
      </c>
      <c r="D128" s="4">
        <f t="shared" si="1"/>
        <v>-1.0708438438422844E-3</v>
      </c>
      <c r="E128" s="4">
        <v>1.171052445384912E-3</v>
      </c>
      <c r="F128">
        <v>126</v>
      </c>
    </row>
    <row r="129" spans="1:6" x14ac:dyDescent="0.25">
      <c r="A129" s="4">
        <f>IFERROR(Merged_data[[#This Row],[BTCUSD_Close]]/Merged_data!D128-1,"")</f>
        <v>-3.4457094899525975E-3</v>
      </c>
      <c r="B129" s="4">
        <f>IFERROR(Merged_data[[#This Row],[XAUUSD_Close]]/Merged_data!C128-1, "")</f>
        <v>-8.6954686795819303E-3</v>
      </c>
      <c r="C129" s="4">
        <f>IFERROR(Merged_data[[#This Row],[AAPL_Close]]/Merged_data!B128-1,"")</f>
        <v>6.1076653567539996E-3</v>
      </c>
      <c r="D129" s="4">
        <f t="shared" si="1"/>
        <v>-2.6796007117923515E-3</v>
      </c>
      <c r="E129" s="4">
        <v>1.2860951050127408E-3</v>
      </c>
      <c r="F129">
        <v>127</v>
      </c>
    </row>
    <row r="130" spans="1:6" x14ac:dyDescent="0.25">
      <c r="A130" s="4">
        <f>IFERROR(Merged_data[[#This Row],[BTCUSD_Close]]/Merged_data!D129-1,"")</f>
        <v>2.1770104057093009E-2</v>
      </c>
      <c r="B130" s="4">
        <f>IFERROR(Merged_data[[#This Row],[XAUUSD_Close]]/Merged_data!C129-1, "")</f>
        <v>-1.5037708307991782E-2</v>
      </c>
      <c r="C130" s="4">
        <f>IFERROR(Merged_data[[#This Row],[AAPL_Close]]/Merged_data!B129-1,"")</f>
        <v>3.8588235294116924E-3</v>
      </c>
      <c r="D130" s="4">
        <f t="shared" si="1"/>
        <v>1.6735949527546972E-3</v>
      </c>
      <c r="E130" s="4">
        <v>1.3447813348947965E-3</v>
      </c>
      <c r="F130">
        <v>128</v>
      </c>
    </row>
    <row r="131" spans="1:6" x14ac:dyDescent="0.25">
      <c r="A131" s="4">
        <f>IFERROR(Merged_data[[#This Row],[BTCUSD_Close]]/Merged_data!D130-1,"")</f>
        <v>4.9826240575936431E-3</v>
      </c>
      <c r="B131" s="4">
        <f>IFERROR(Merged_data[[#This Row],[XAUUSD_Close]]/Merged_data!C130-1, "")</f>
        <v>-1.6301579215485251E-3</v>
      </c>
      <c r="C131" s="4">
        <f>IFERROR(Merged_data[[#This Row],[AAPL_Close]]/Merged_data!B130-1,"")</f>
        <v>-3.7361710106881718E-2</v>
      </c>
      <c r="D131" s="4">
        <f t="shared" si="1"/>
        <v>-1.0365788983405833E-2</v>
      </c>
      <c r="E131" s="4">
        <v>1.4442238225644164E-3</v>
      </c>
      <c r="F131">
        <v>129</v>
      </c>
    </row>
    <row r="132" spans="1:6" x14ac:dyDescent="0.25">
      <c r="A132" s="4">
        <f>IFERROR(Merged_data[[#This Row],[BTCUSD_Close]]/Merged_data!D131-1,"")</f>
        <v>-2.3438193113380246E-2</v>
      </c>
      <c r="B132" s="4">
        <f>IFERROR(Merged_data[[#This Row],[XAUUSD_Close]]/Merged_data!C131-1, "")</f>
        <v>3.1000380372765202E-2</v>
      </c>
      <c r="C132" s="4">
        <f>IFERROR(Merged_data[[#This Row],[AAPL_Close]]/Merged_data!B131-1,"")</f>
        <v>-3.1458485512539602E-2</v>
      </c>
      <c r="D132" s="4">
        <f t="shared" ref="D132:D195" si="2">SUMPRODUCT(A132:C132,$I$2:$K$2)</f>
        <v>-4.0688514386698722E-3</v>
      </c>
      <c r="E132" s="4">
        <v>1.5132518584688674E-3</v>
      </c>
      <c r="F132">
        <v>130</v>
      </c>
    </row>
    <row r="133" spans="1:6" x14ac:dyDescent="0.25">
      <c r="A133" s="4">
        <f>IFERROR(Merged_data[[#This Row],[BTCUSD_Close]]/Merged_data!D132-1,"")</f>
        <v>1.700755727109815E-4</v>
      </c>
      <c r="B133" s="4">
        <f>IFERROR(Merged_data[[#This Row],[XAUUSD_Close]]/Merged_data!C132-1, "")</f>
        <v>2.9349878446211175E-2</v>
      </c>
      <c r="C133" s="4">
        <f>IFERROR(Merged_data[[#This Row],[AAPL_Close]]/Merged_data!B132-1,"")</f>
        <v>-1.9106038513750923E-3</v>
      </c>
      <c r="D133" s="4">
        <f t="shared" si="2"/>
        <v>1.1217792894885238E-2</v>
      </c>
      <c r="E133" s="4">
        <v>1.6735949527546972E-3</v>
      </c>
      <c r="F133">
        <v>131</v>
      </c>
    </row>
    <row r="134" spans="1:6" x14ac:dyDescent="0.25">
      <c r="A134" s="4">
        <f>IFERROR(Merged_data[[#This Row],[BTCUSD_Close]]/Merged_data!D133-1,"")</f>
        <v>2.5785832050942314E-2</v>
      </c>
      <c r="B134" s="4">
        <f>IFERROR(Merged_data[[#This Row],[XAUUSD_Close]]/Merged_data!C133-1, "")</f>
        <v>-1.9605072025619341E-2</v>
      </c>
      <c r="C134" s="4">
        <f>IFERROR(Merged_data[[#This Row],[AAPL_Close]]/Merged_data!B133-1,"")</f>
        <v>-1.1384816885799176E-2</v>
      </c>
      <c r="D134" s="4">
        <f t="shared" si="2"/>
        <v>-3.5217242607047949E-3</v>
      </c>
      <c r="E134" s="4">
        <v>1.8345695752752132E-3</v>
      </c>
      <c r="F134">
        <v>132</v>
      </c>
    </row>
    <row r="135" spans="1:6" x14ac:dyDescent="0.25">
      <c r="A135" s="4">
        <f>IFERROR(Merged_data[[#This Row],[BTCUSD_Close]]/Merged_data!D134-1,"")</f>
        <v>5.8243660247546014E-2</v>
      </c>
      <c r="B135" s="4">
        <f>IFERROR(Merged_data[[#This Row],[XAUUSD_Close]]/Merged_data!C134-1, "")</f>
        <v>-1.752868566808885E-2</v>
      </c>
      <c r="C135" s="4">
        <f>IFERROR(Merged_data[[#This Row],[AAPL_Close]]/Merged_data!B134-1,"")</f>
        <v>6.3184713375796786E-3</v>
      </c>
      <c r="D135" s="4">
        <f t="shared" si="2"/>
        <v>1.2357165208302167E-2</v>
      </c>
      <c r="E135" s="4">
        <v>2.1553102798647526E-3</v>
      </c>
      <c r="F135">
        <v>133</v>
      </c>
    </row>
    <row r="136" spans="1:6" x14ac:dyDescent="0.25">
      <c r="A136" s="4">
        <f>IFERROR(Merged_data[[#This Row],[BTCUSD_Close]]/Merged_data!D135-1,"")</f>
        <v>3.9502617291637954E-3</v>
      </c>
      <c r="B136" s="4">
        <f>IFERROR(Merged_data[[#This Row],[XAUUSD_Close]]/Merged_data!C135-1, "")</f>
        <v>7.0896775384130528E-3</v>
      </c>
      <c r="C136" s="4">
        <f>IFERROR(Merged_data[[#This Row],[AAPL_Close]]/Merged_data!B135-1,"")</f>
        <v>5.2660894222491539E-3</v>
      </c>
      <c r="D136" s="4">
        <f t="shared" si="2"/>
        <v>5.6007763607891061E-3</v>
      </c>
      <c r="E136" s="4">
        <v>2.1593554001668406E-3</v>
      </c>
      <c r="F136">
        <v>134</v>
      </c>
    </row>
    <row r="137" spans="1:6" x14ac:dyDescent="0.25">
      <c r="A137" s="4">
        <f>IFERROR(Merged_data[[#This Row],[BTCUSD_Close]]/Merged_data!D136-1,"")</f>
        <v>-6.8033803690494832E-3</v>
      </c>
      <c r="B137" s="4">
        <f>IFERROR(Merged_data[[#This Row],[XAUUSD_Close]]/Merged_data!C136-1, "")</f>
        <v>-2.7945790633368883E-2</v>
      </c>
      <c r="C137" s="4">
        <f>IFERROR(Merged_data[[#This Row],[AAPL_Close]]/Merged_data!B136-1,"")</f>
        <v>6.1753891099581848E-2</v>
      </c>
      <c r="D137" s="4">
        <f t="shared" si="2"/>
        <v>5.3068369658121565E-3</v>
      </c>
      <c r="E137" s="4">
        <v>2.2520464711448078E-3</v>
      </c>
      <c r="F137">
        <v>135</v>
      </c>
    </row>
    <row r="138" spans="1:6" x14ac:dyDescent="0.25">
      <c r="A138" s="4">
        <f>IFERROR(Merged_data[[#This Row],[BTCUSD_Close]]/Merged_data!D137-1,"")</f>
        <v>1.8149528697722461E-2</v>
      </c>
      <c r="B138" s="4">
        <f>IFERROR(Merged_data[[#This Row],[XAUUSD_Close]]/Merged_data!C137-1, "")</f>
        <v>4.4222422406026141E-3</v>
      </c>
      <c r="C138" s="4">
        <f>IFERROR(Merged_data[[#This Row],[AAPL_Close]]/Merged_data!B137-1,"")</f>
        <v>1.0152284263959421E-2</v>
      </c>
      <c r="D138" s="4">
        <f t="shared" si="2"/>
        <v>1.025944078474561E-2</v>
      </c>
      <c r="E138" s="4">
        <v>2.3112268355132137E-3</v>
      </c>
      <c r="F138">
        <v>136</v>
      </c>
    </row>
    <row r="139" spans="1:6" x14ac:dyDescent="0.25">
      <c r="A139" s="4">
        <f>IFERROR(Merged_data[[#This Row],[BTCUSD_Close]]/Merged_data!D138-1,"")</f>
        <v>-6.9578884821068776E-3</v>
      </c>
      <c r="B139" s="4">
        <f>IFERROR(Merged_data[[#This Row],[XAUUSD_Close]]/Merged_data!C138-1, "")</f>
        <v>-2.2366143882346479E-2</v>
      </c>
      <c r="C139" s="4">
        <f>IFERROR(Merged_data[[#This Row],[AAPL_Close]]/Merged_data!B138-1,"")</f>
        <v>-2.8178274550321181E-3</v>
      </c>
      <c r="D139" s="4">
        <f t="shared" si="2"/>
        <v>-1.1879172334080292E-2</v>
      </c>
      <c r="E139" s="4">
        <v>2.3887733518642706E-3</v>
      </c>
      <c r="F139">
        <v>137</v>
      </c>
    </row>
    <row r="140" spans="1:6" x14ac:dyDescent="0.25">
      <c r="A140" s="4">
        <f>IFERROR(Merged_data[[#This Row],[BTCUSD_Close]]/Merged_data!D139-1,"")</f>
        <v>-3.1655342804199904E-3</v>
      </c>
      <c r="B140" s="4">
        <f>IFERROR(Merged_data[[#This Row],[XAUUSD_Close]]/Merged_data!C139-1, "")</f>
        <v>1.9606423857524424E-2</v>
      </c>
      <c r="C140" s="4">
        <f>IFERROR(Merged_data[[#This Row],[AAPL_Close]]/Merged_data!B139-1,"")</f>
        <v>-4.1444920642397243E-3</v>
      </c>
      <c r="D140" s="4">
        <f t="shared" si="2"/>
        <v>5.6495616396118557E-3</v>
      </c>
      <c r="E140" s="4">
        <v>2.431202113916231E-3</v>
      </c>
      <c r="F140">
        <v>138</v>
      </c>
    </row>
    <row r="141" spans="1:6" x14ac:dyDescent="0.25">
      <c r="A141" s="4">
        <f>IFERROR(Merged_data[[#This Row],[BTCUSD_Close]]/Merged_data!D140-1,"")</f>
        <v>6.1575400821005655E-3</v>
      </c>
      <c r="B141" s="4">
        <f>IFERROR(Merged_data[[#This Row],[XAUUSD_Close]]/Merged_data!C140-1, "")</f>
        <v>-1.4621137528820882E-2</v>
      </c>
      <c r="C141" s="4">
        <f>IFERROR(Merged_data[[#This Row],[AAPL_Close]]/Merged_data!B140-1,"")</f>
        <v>-8.9855757862378205E-4</v>
      </c>
      <c r="D141" s="4">
        <f t="shared" si="2"/>
        <v>-4.2707602604853184E-3</v>
      </c>
      <c r="E141" s="4">
        <v>2.6451072277337349E-3</v>
      </c>
      <c r="F141">
        <v>139</v>
      </c>
    </row>
    <row r="142" spans="1:6" x14ac:dyDescent="0.25">
      <c r="A142" s="4">
        <f>IFERROR(Merged_data[[#This Row],[BTCUSD_Close]]/Merged_data!D141-1,"")</f>
        <v>1.4914745390862461E-2</v>
      </c>
      <c r="B142" s="4">
        <f>IFERROR(Merged_data[[#This Row],[XAUUSD_Close]]/Merged_data!C141-1, "")</f>
        <v>1.168221371606859E-2</v>
      </c>
      <c r="C142" s="4">
        <f>IFERROR(Merged_data[[#This Row],[AAPL_Close]]/Merged_data!B141-1,"")</f>
        <v>-1.1739089273880454E-2</v>
      </c>
      <c r="D142" s="4">
        <f t="shared" si="2"/>
        <v>5.6255823215220369E-3</v>
      </c>
      <c r="E142" s="4">
        <v>2.7770455906961037E-3</v>
      </c>
      <c r="F142">
        <v>140</v>
      </c>
    </row>
    <row r="143" spans="1:6" x14ac:dyDescent="0.25">
      <c r="A143" s="4">
        <f>IFERROR(Merged_data[[#This Row],[BTCUSD_Close]]/Merged_data!D142-1,"")</f>
        <v>1.0855755920890386E-2</v>
      </c>
      <c r="B143" s="4">
        <f>IFERROR(Merged_data[[#This Row],[XAUUSD_Close]]/Merged_data!C142-1, "")</f>
        <v>1.864847333621289E-2</v>
      </c>
      <c r="C143" s="4">
        <f>IFERROR(Merged_data[[#This Row],[AAPL_Close]]/Merged_data!B142-1,"")</f>
        <v>-9.196283168885877E-3</v>
      </c>
      <c r="D143" s="4">
        <f t="shared" si="2"/>
        <v>7.9572311600865087E-3</v>
      </c>
      <c r="E143" s="4">
        <v>3.0222133037264621E-3</v>
      </c>
      <c r="F143">
        <v>141</v>
      </c>
    </row>
    <row r="144" spans="1:6" x14ac:dyDescent="0.25">
      <c r="A144" s="4">
        <f>IFERROR(Merged_data[[#This Row],[BTCUSD_Close]]/Merged_data!D143-1,"")</f>
        <v>1.7229574466089526E-2</v>
      </c>
      <c r="B144" s="4">
        <f>IFERROR(Merged_data[[#This Row],[XAUUSD_Close]]/Merged_data!C143-1, "")</f>
        <v>7.7340778149443956E-3</v>
      </c>
      <c r="C144" s="4">
        <f>IFERROR(Merged_data[[#This Row],[AAPL_Close]]/Merged_data!B143-1,"")</f>
        <v>-2.3059073769699401E-2</v>
      </c>
      <c r="D144" s="4">
        <f t="shared" si="2"/>
        <v>1.3447813348947965E-3</v>
      </c>
      <c r="E144" s="4">
        <v>3.0925505723275676E-3</v>
      </c>
      <c r="F144">
        <v>142</v>
      </c>
    </row>
    <row r="145" spans="1:6" x14ac:dyDescent="0.25">
      <c r="A145" s="4">
        <f>IFERROR(Merged_data[[#This Row],[BTCUSD_Close]]/Merged_data!D144-1,"")</f>
        <v>2.2239433502987405E-2</v>
      </c>
      <c r="B145" s="4">
        <f>IFERROR(Merged_data[[#This Row],[XAUUSD_Close]]/Merged_data!C144-1, "")</f>
        <v>-6.2390097212126072E-3</v>
      </c>
      <c r="C145" s="4">
        <f>IFERROR(Merged_data[[#This Row],[AAPL_Close]]/Merged_data!B144-1,"")</f>
        <v>-3.6122519669453679E-3</v>
      </c>
      <c r="D145" s="4">
        <f t="shared" si="2"/>
        <v>3.0925505723275676E-3</v>
      </c>
      <c r="E145" s="4">
        <v>3.2356957413547383E-3</v>
      </c>
      <c r="F145">
        <v>143</v>
      </c>
    </row>
    <row r="146" spans="1:6" x14ac:dyDescent="0.25">
      <c r="A146" s="4">
        <f>IFERROR(Merged_data[[#This Row],[BTCUSD_Close]]/Merged_data!D145-1,"")</f>
        <v>-1.9590864812209063E-2</v>
      </c>
      <c r="B146" s="4">
        <f>IFERROR(Merged_data[[#This Row],[XAUUSD_Close]]/Merged_data!C145-1, "")</f>
        <v>2.0081979030243557E-2</v>
      </c>
      <c r="C146" s="4">
        <f>IFERROR(Merged_data[[#This Row],[AAPL_Close]]/Merged_data!B145-1,"")</f>
        <v>-3.0244338498212175E-2</v>
      </c>
      <c r="D146" s="4">
        <f t="shared" si="2"/>
        <v>-6.9177693810289469E-3</v>
      </c>
      <c r="E146" s="4">
        <v>3.3770782151949404E-3</v>
      </c>
      <c r="F146">
        <v>144</v>
      </c>
    </row>
    <row r="147" spans="1:6" x14ac:dyDescent="0.25">
      <c r="A147" s="4">
        <f>IFERROR(Merged_data[[#This Row],[BTCUSD_Close]]/Merged_data!D146-1,"")</f>
        <v>1.6099948480163828E-3</v>
      </c>
      <c r="B147" s="4">
        <f>IFERROR(Merged_data[[#This Row],[XAUUSD_Close]]/Merged_data!C146-1, "")</f>
        <v>-1.7913303242276579E-2</v>
      </c>
      <c r="C147" s="4">
        <f>IFERROR(Merged_data[[#This Row],[AAPL_Close]]/Merged_data!B146-1,"")</f>
        <v>2.5298304911148595E-2</v>
      </c>
      <c r="D147" s="4">
        <f t="shared" si="2"/>
        <v>9.0716863083886105E-4</v>
      </c>
      <c r="E147" s="4">
        <v>3.447587682533183E-3</v>
      </c>
      <c r="F147">
        <v>145</v>
      </c>
    </row>
    <row r="148" spans="1:6" x14ac:dyDescent="0.25">
      <c r="A148" s="4">
        <f>IFERROR(Merged_data[[#This Row],[BTCUSD_Close]]/Merged_data!D147-1,"")</f>
        <v>-1.2207107494190406E-2</v>
      </c>
      <c r="B148" s="4">
        <f>IFERROR(Merged_data[[#This Row],[XAUUSD_Close]]/Merged_data!C147-1, "")</f>
        <v>-3.9930863254971083E-3</v>
      </c>
      <c r="C148" s="4">
        <f>IFERROR(Merged_data[[#This Row],[AAPL_Close]]/Merged_data!B147-1,"")</f>
        <v>1.0488986564105574E-3</v>
      </c>
      <c r="D148" s="4">
        <f t="shared" si="2"/>
        <v>-4.944697181532798E-3</v>
      </c>
      <c r="E148" s="4">
        <v>3.8902789193014601E-3</v>
      </c>
      <c r="F148">
        <v>146</v>
      </c>
    </row>
    <row r="149" spans="1:6" x14ac:dyDescent="0.25">
      <c r="A149" s="4">
        <f>IFERROR(Merged_data[[#This Row],[BTCUSD_Close]]/Merged_data!D148-1,"")</f>
        <v>-1.042383440888206E-2</v>
      </c>
      <c r="B149" s="4">
        <f>IFERROR(Merged_data[[#This Row],[XAUUSD_Close]]/Merged_data!C148-1, "")</f>
        <v>9.1847210287372416E-3</v>
      </c>
      <c r="C149" s="4">
        <f>IFERROR(Merged_data[[#This Row],[AAPL_Close]]/Merged_data!B148-1,"")</f>
        <v>-2.3450753417822989E-3</v>
      </c>
      <c r="D149" s="4">
        <f t="shared" si="2"/>
        <v>-1.5678451370441081E-4</v>
      </c>
      <c r="E149" s="4">
        <v>4.1204482377890216E-3</v>
      </c>
      <c r="F149">
        <v>147</v>
      </c>
    </row>
    <row r="150" spans="1:6" x14ac:dyDescent="0.25">
      <c r="A150" s="4">
        <f>IFERROR(Merged_data[[#This Row],[BTCUSD_Close]]/Merged_data!D149-1,"")</f>
        <v>-1.72616306931902E-2</v>
      </c>
      <c r="B150" s="4">
        <f>IFERROR(Merged_data[[#This Row],[XAUUSD_Close]]/Merged_data!C149-1, "")</f>
        <v>-6.8797246301676163E-3</v>
      </c>
      <c r="C150" s="4">
        <f>IFERROR(Merged_data[[#This Row],[AAPL_Close]]/Merged_data!B149-1,"")</f>
        <v>4.5011252813202951E-3</v>
      </c>
      <c r="D150" s="4">
        <f t="shared" si="2"/>
        <v>-6.5800414756280179E-3</v>
      </c>
      <c r="E150" s="4">
        <v>4.1287290559436918E-3</v>
      </c>
      <c r="F150">
        <v>148</v>
      </c>
    </row>
    <row r="151" spans="1:6" x14ac:dyDescent="0.25">
      <c r="A151" s="4">
        <f>IFERROR(Merged_data[[#This Row],[BTCUSD_Close]]/Merged_data!D150-1,"")</f>
        <v>3.5187026696243962E-3</v>
      </c>
      <c r="B151" s="4">
        <f>IFERROR(Merged_data[[#This Row],[XAUUSD_Close]]/Merged_data!C150-1, "")</f>
        <v>2.6321020851954202E-2</v>
      </c>
      <c r="C151" s="4">
        <f>IFERROR(Merged_data[[#This Row],[AAPL_Close]]/Merged_data!B150-1,"")</f>
        <v>4.2320139407516777E-3</v>
      </c>
      <c r="D151" s="4">
        <f t="shared" si="2"/>
        <v>1.2853623323894503E-2</v>
      </c>
      <c r="E151" s="4">
        <v>4.1406127814995084E-3</v>
      </c>
      <c r="F151">
        <v>149</v>
      </c>
    </row>
    <row r="152" spans="1:6" x14ac:dyDescent="0.25">
      <c r="A152" s="4">
        <f>IFERROR(Merged_data[[#This Row],[BTCUSD_Close]]/Merged_data!D151-1,"")</f>
        <v>4.7926671240186014E-3</v>
      </c>
      <c r="B152" s="4">
        <f>IFERROR(Merged_data[[#This Row],[XAUUSD_Close]]/Merged_data!C151-1, "")</f>
        <v>-8.330326884747552E-3</v>
      </c>
      <c r="C152" s="4">
        <f>IFERROR(Merged_data[[#This Row],[AAPL_Close]]/Merged_data!B151-1,"")</f>
        <v>7.7838373822509688E-3</v>
      </c>
      <c r="D152" s="4">
        <f t="shared" si="2"/>
        <v>4.4082059798185021E-4</v>
      </c>
      <c r="E152" s="4">
        <v>4.292999240290073E-3</v>
      </c>
      <c r="F152">
        <v>150</v>
      </c>
    </row>
    <row r="153" spans="1:6" x14ac:dyDescent="0.25">
      <c r="A153" s="4">
        <f>IFERROR(Merged_data[[#This Row],[BTCUSD_Close]]/Merged_data!D152-1,"")</f>
        <v>-4.4758427765397846E-3</v>
      </c>
      <c r="B153" s="4">
        <f>IFERROR(Merged_data[[#This Row],[XAUUSD_Close]]/Merged_data!C152-1, "")</f>
        <v>5.7388659440278378E-3</v>
      </c>
      <c r="C153" s="4">
        <f>IFERROR(Merged_data[[#This Row],[AAPL_Close]]/Merged_data!B152-1,"")</f>
        <v>-2.2138042996999729E-3</v>
      </c>
      <c r="D153" s="4">
        <f t="shared" si="2"/>
        <v>2.8865225473920816E-4</v>
      </c>
      <c r="E153" s="4">
        <v>4.3499398831936438E-3</v>
      </c>
      <c r="F153">
        <v>151</v>
      </c>
    </row>
    <row r="154" spans="1:6" x14ac:dyDescent="0.25">
      <c r="A154" s="4">
        <f>IFERROR(Merged_data[[#This Row],[BTCUSD_Close]]/Merged_data!D153-1,"")</f>
        <v>-3.2043283198232131E-2</v>
      </c>
      <c r="B154" s="4">
        <f>IFERROR(Merged_data[[#This Row],[XAUUSD_Close]]/Merged_data!C153-1, "")</f>
        <v>-5.8929135305741953E-3</v>
      </c>
      <c r="C154" s="4">
        <f>IFERROR(Merged_data[[#This Row],[AAPL_Close]]/Merged_data!B153-1,"")</f>
        <v>-1.0797751701015712E-2</v>
      </c>
      <c r="D154" s="4">
        <f t="shared" si="2"/>
        <v>-1.5209475882004031E-2</v>
      </c>
      <c r="E154" s="4">
        <v>4.5178435197382408E-3</v>
      </c>
      <c r="F154">
        <v>152</v>
      </c>
    </row>
    <row r="155" spans="1:6" x14ac:dyDescent="0.25">
      <c r="A155" s="4">
        <f>IFERROR(Merged_data[[#This Row],[BTCUSD_Close]]/Merged_data!D154-1,"")</f>
        <v>2.6412383510957538E-2</v>
      </c>
      <c r="B155" s="4">
        <f>IFERROR(Merged_data[[#This Row],[XAUUSD_Close]]/Merged_data!C154-1, "")</f>
        <v>-1.2045084436384967E-2</v>
      </c>
      <c r="C155" s="4">
        <f>IFERROR(Merged_data[[#This Row],[AAPL_Close]]/Merged_data!B154-1,"")</f>
        <v>1.6398345212580434E-2</v>
      </c>
      <c r="D155" s="4">
        <f t="shared" si="2"/>
        <v>8.0251848425074053E-3</v>
      </c>
      <c r="E155" s="4">
        <v>4.5706071638906389E-3</v>
      </c>
      <c r="F155">
        <v>153</v>
      </c>
    </row>
    <row r="156" spans="1:6" x14ac:dyDescent="0.25">
      <c r="A156" s="4">
        <f>IFERROR(Merged_data[[#This Row],[BTCUSD_Close]]/Merged_data!D155-1,"")</f>
        <v>5.4111578765711377E-2</v>
      </c>
      <c r="B156" s="4">
        <f>IFERROR(Merged_data[[#This Row],[XAUUSD_Close]]/Merged_data!C155-1, "")</f>
        <v>3.9940406377785287E-3</v>
      </c>
      <c r="C156" s="4">
        <f>IFERROR(Merged_data[[#This Row],[AAPL_Close]]/Merged_data!B155-1,"")</f>
        <v>-1.2112593173793651E-2</v>
      </c>
      <c r="D156" s="4">
        <f t="shared" si="2"/>
        <v>1.4197311932686727E-2</v>
      </c>
      <c r="E156" s="4">
        <v>4.7704061584641702E-3</v>
      </c>
      <c r="F156">
        <v>154</v>
      </c>
    </row>
    <row r="157" spans="1:6" x14ac:dyDescent="0.25">
      <c r="A157" s="4">
        <f>IFERROR(Merged_data[[#This Row],[BTCUSD_Close]]/Merged_data!D156-1,"")</f>
        <v>-2.6376344966205778E-4</v>
      </c>
      <c r="B157" s="4">
        <f>IFERROR(Merged_data[[#This Row],[XAUUSD_Close]]/Merged_data!C156-1, "")</f>
        <v>-7.336878488963805E-4</v>
      </c>
      <c r="C157" s="4">
        <f>IFERROR(Merged_data[[#This Row],[AAPL_Close]]/Merged_data!B156-1,"")</f>
        <v>6.0560933234052872E-3</v>
      </c>
      <c r="D157" s="4">
        <f t="shared" si="2"/>
        <v>1.4442238225644164E-3</v>
      </c>
      <c r="E157" s="4">
        <v>5.2917657144195161E-3</v>
      </c>
      <c r="F157">
        <v>155</v>
      </c>
    </row>
    <row r="158" spans="1:6" x14ac:dyDescent="0.25">
      <c r="A158" s="4">
        <f>IFERROR(Merged_data[[#This Row],[BTCUSD_Close]]/Merged_data!D157-1,"")</f>
        <v>-1.2436543605232941E-2</v>
      </c>
      <c r="B158" s="4">
        <f>IFERROR(Merged_data[[#This Row],[XAUUSD_Close]]/Merged_data!C157-1, "")</f>
        <v>9.5840636730886164E-3</v>
      </c>
      <c r="C158" s="4">
        <f>IFERROR(Merged_data[[#This Row],[AAPL_Close]]/Merged_data!B157-1,"")</f>
        <v>-1.9193763260472618E-2</v>
      </c>
      <c r="D158" s="4">
        <f t="shared" si="2"/>
        <v>-5.6554665904762205E-3</v>
      </c>
      <c r="E158" s="4">
        <v>5.3068369658121565E-3</v>
      </c>
      <c r="F158">
        <v>156</v>
      </c>
    </row>
    <row r="159" spans="1:6" x14ac:dyDescent="0.25">
      <c r="A159" s="4">
        <f>IFERROR(Merged_data[[#This Row],[BTCUSD_Close]]/Merged_data!D158-1,"")</f>
        <v>-2.3767629961953363E-2</v>
      </c>
      <c r="B159" s="4">
        <f>IFERROR(Merged_data[[#This Row],[XAUUSD_Close]]/Merged_data!C158-1, "")</f>
        <v>9.1816129296662385E-3</v>
      </c>
      <c r="C159" s="4">
        <f>IFERROR(Merged_data[[#This Row],[AAPL_Close]]/Merged_data!B158-1,"")</f>
        <v>2.1128886205854513E-3</v>
      </c>
      <c r="D159" s="4">
        <f t="shared" si="2"/>
        <v>-2.8237772305438778E-3</v>
      </c>
      <c r="E159" s="4">
        <v>5.6007763607891061E-3</v>
      </c>
      <c r="F159">
        <v>157</v>
      </c>
    </row>
    <row r="160" spans="1:6" x14ac:dyDescent="0.25">
      <c r="A160" s="4">
        <f>IFERROR(Merged_data[[#This Row],[BTCUSD_Close]]/Merged_data!D159-1,"")</f>
        <v>-6.8226212831812294E-3</v>
      </c>
      <c r="B160" s="4">
        <f>IFERROR(Merged_data[[#This Row],[XAUUSD_Close]]/Merged_data!C159-1, "")</f>
        <v>1.377780665587669E-2</v>
      </c>
      <c r="C160" s="4">
        <f>IFERROR(Merged_data[[#This Row],[AAPL_Close]]/Merged_data!B159-1,"")</f>
        <v>-1.3805220883534086E-2</v>
      </c>
      <c r="D160" s="4">
        <f t="shared" si="2"/>
        <v>-6.7722998766391821E-4</v>
      </c>
      <c r="E160" s="4">
        <v>5.6056345292358808E-3</v>
      </c>
      <c r="F160">
        <v>158</v>
      </c>
    </row>
    <row r="161" spans="1:6" x14ac:dyDescent="0.25">
      <c r="A161" s="4">
        <f>IFERROR(Merged_data[[#This Row],[BTCUSD_Close]]/Merged_data!D160-1,"")</f>
        <v>3.1535041045910539E-2</v>
      </c>
      <c r="B161" s="4">
        <f>IFERROR(Merged_data[[#This Row],[XAUUSD_Close]]/Merged_data!C160-1, "")</f>
        <v>-1.3777009960583175E-2</v>
      </c>
      <c r="C161" s="4">
        <f>IFERROR(Merged_data[[#This Row],[AAPL_Close]]/Merged_data!B160-1,"")</f>
        <v>1.0027996945787709E-2</v>
      </c>
      <c r="D161" s="4">
        <f t="shared" si="2"/>
        <v>6.958107413276203E-3</v>
      </c>
      <c r="E161" s="4">
        <v>5.6255823215220369E-3</v>
      </c>
      <c r="F161">
        <v>159</v>
      </c>
    </row>
    <row r="162" spans="1:6" x14ac:dyDescent="0.25">
      <c r="A162" s="4">
        <f>IFERROR(Merged_data[[#This Row],[BTCUSD_Close]]/Merged_data!D161-1,"")</f>
        <v>-3.6733077270257097E-2</v>
      </c>
      <c r="B162" s="4">
        <f>IFERROR(Merged_data[[#This Row],[XAUUSD_Close]]/Merged_data!C161-1, "")</f>
        <v>1.0014061041463407E-3</v>
      </c>
      <c r="C162" s="4">
        <f>IFERROR(Merged_data[[#This Row],[AAPL_Close]]/Merged_data!B161-1,"")</f>
        <v>-1.4010684406813856E-2</v>
      </c>
      <c r="D162" s="4">
        <f t="shared" si="2"/>
        <v>-1.4822566061462749E-2</v>
      </c>
      <c r="E162" s="4">
        <v>5.6495616396118557E-3</v>
      </c>
      <c r="F162">
        <v>160</v>
      </c>
    </row>
    <row r="163" spans="1:6" x14ac:dyDescent="0.25">
      <c r="A163" s="4">
        <f>IFERROR(Merged_data[[#This Row],[BTCUSD_Close]]/Merged_data!D162-1,"")</f>
        <v>5.0392526224194434E-3</v>
      </c>
      <c r="B163" s="4">
        <f>IFERROR(Merged_data[[#This Row],[XAUUSD_Close]]/Merged_data!C162-1, "")</f>
        <v>-5.6719087064684981E-3</v>
      </c>
      <c r="C163" s="4">
        <f>IFERROR(Merged_data[[#This Row],[AAPL_Close]]/Merged_data!B162-1,"")</f>
        <v>4.8047434062565841E-3</v>
      </c>
      <c r="D163" s="4">
        <f t="shared" si="2"/>
        <v>6.8443532601540884E-4</v>
      </c>
      <c r="E163" s="4">
        <v>5.7757438877820144E-3</v>
      </c>
      <c r="F163">
        <v>161</v>
      </c>
    </row>
    <row r="164" spans="1:6" x14ac:dyDescent="0.25">
      <c r="A164" s="4">
        <f>IFERROR(Merged_data[[#This Row],[BTCUSD_Close]]/Merged_data!D163-1,"")</f>
        <v>-1.5879207657031991E-2</v>
      </c>
      <c r="B164" s="4">
        <f>IFERROR(Merged_data[[#This Row],[XAUUSD_Close]]/Merged_data!C163-1, "")</f>
        <v>-1.1708281271795018E-3</v>
      </c>
      <c r="C164" s="4">
        <f>IFERROR(Merged_data[[#This Row],[AAPL_Close]]/Merged_data!B163-1,"")</f>
        <v>2.248448468816755E-2</v>
      </c>
      <c r="D164" s="4">
        <f t="shared" si="2"/>
        <v>1.5132518584688674E-3</v>
      </c>
      <c r="E164" s="4">
        <v>5.9907966147496276E-3</v>
      </c>
      <c r="F164">
        <v>162</v>
      </c>
    </row>
    <row r="165" spans="1:6" x14ac:dyDescent="0.25">
      <c r="A165" s="4">
        <f>IFERROR(Merged_data[[#This Row],[BTCUSD_Close]]/Merged_data!D164-1,"")</f>
        <v>3.3933698773165322E-3</v>
      </c>
      <c r="B165" s="4">
        <f>IFERROR(Merged_data[[#This Row],[XAUUSD_Close]]/Merged_data!C164-1, "")</f>
        <v>9.7757664988340487E-4</v>
      </c>
      <c r="C165" s="4">
        <f>IFERROR(Merged_data[[#This Row],[AAPL_Close]]/Merged_data!B164-1,"")</f>
        <v>2.4875621890547706E-3</v>
      </c>
      <c r="D165" s="4">
        <f t="shared" si="2"/>
        <v>2.1553102798647526E-3</v>
      </c>
      <c r="E165" s="4">
        <v>6.1151416640864648E-3</v>
      </c>
      <c r="F165">
        <v>163</v>
      </c>
    </row>
    <row r="166" spans="1:6" x14ac:dyDescent="0.25">
      <c r="A166" s="4">
        <f>IFERROR(Merged_data[[#This Row],[BTCUSD_Close]]/Merged_data!D165-1,"")</f>
        <v>2.2324353489806104E-2</v>
      </c>
      <c r="B166" s="4">
        <f>IFERROR(Merged_data[[#This Row],[XAUUSD_Close]]/Merged_data!C165-1, "")</f>
        <v>-1.3274933914754983E-2</v>
      </c>
      <c r="C166" s="4">
        <f>IFERROR(Merged_data[[#This Row],[AAPL_Close]]/Merged_data!B165-1,"")</f>
        <v>-5.9553349875930417E-3</v>
      </c>
      <c r="D166" s="4">
        <f t="shared" si="2"/>
        <v>-3.9926801523807527E-4</v>
      </c>
      <c r="E166" s="4">
        <v>6.2870200028612103E-3</v>
      </c>
      <c r="F166">
        <v>164</v>
      </c>
    </row>
    <row r="167" spans="1:6" x14ac:dyDescent="0.25">
      <c r="A167" s="4">
        <f>IFERROR(Merged_data[[#This Row],[BTCUSD_Close]]/Merged_data!D166-1,"")</f>
        <v>1.4815512935300035E-2</v>
      </c>
      <c r="B167" s="4">
        <f>IFERROR(Merged_data[[#This Row],[XAUUSD_Close]]/Merged_data!C166-1, "")</f>
        <v>2.4849317170247964E-3</v>
      </c>
      <c r="C167" s="4">
        <f>IFERROR(Merged_data[[#This Row],[AAPL_Close]]/Merged_data!B166-1,"")</f>
        <v>6.2905641537693846E-3</v>
      </c>
      <c r="D167" s="4">
        <f t="shared" si="2"/>
        <v>7.3257958135307449E-3</v>
      </c>
      <c r="E167" s="4">
        <v>6.3024923797933008E-3</v>
      </c>
      <c r="F167">
        <v>165</v>
      </c>
    </row>
    <row r="168" spans="1:6" x14ac:dyDescent="0.25">
      <c r="A168" s="4">
        <f>IFERROR(Merged_data[[#This Row],[BTCUSD_Close]]/Merged_data!D167-1,"")</f>
        <v>-5.3028966260204591E-3</v>
      </c>
      <c r="B168" s="4">
        <f>IFERROR(Merged_data[[#This Row],[XAUUSD_Close]]/Merged_data!C167-1, "")</f>
        <v>-1.3174103733312181E-3</v>
      </c>
      <c r="C168" s="4">
        <f>IFERROR(Merged_data[[#This Row],[AAPL_Close]]/Merged_data!B167-1,"")</f>
        <v>-2.7783290335383626E-3</v>
      </c>
      <c r="D168" s="4">
        <f t="shared" si="2"/>
        <v>-2.9513318472001336E-3</v>
      </c>
      <c r="E168" s="4">
        <v>6.3217026083493E-3</v>
      </c>
      <c r="F168">
        <v>166</v>
      </c>
    </row>
    <row r="169" spans="1:6" x14ac:dyDescent="0.25">
      <c r="A169" s="4">
        <f>IFERROR(Merged_data[[#This Row],[BTCUSD_Close]]/Merged_data!D168-1,"")</f>
        <v>-2.0820495583814269E-3</v>
      </c>
      <c r="B169" s="4">
        <f>IFERROR(Merged_data[[#This Row],[XAUUSD_Close]]/Merged_data!C168-1, "")</f>
        <v>-1.7058780223594083E-2</v>
      </c>
      <c r="C169" s="4">
        <f>IFERROR(Merged_data[[#This Row],[AAPL_Close]]/Merged_data!B168-1,"")</f>
        <v>3.9800995024874553E-4</v>
      </c>
      <c r="D169" s="4">
        <f t="shared" si="2"/>
        <v>-7.3287239718774384E-3</v>
      </c>
      <c r="E169" s="4">
        <v>6.8722744088980155E-3</v>
      </c>
      <c r="F169">
        <v>167</v>
      </c>
    </row>
    <row r="170" spans="1:6" x14ac:dyDescent="0.25">
      <c r="A170" s="4">
        <f>IFERROR(Merged_data[[#This Row],[BTCUSD_Close]]/Merged_data!D169-1,"")</f>
        <v>2.7132471955315651E-3</v>
      </c>
      <c r="B170" s="4">
        <f>IFERROR(Merged_data[[#This Row],[XAUUSD_Close]]/Merged_data!C169-1, "")</f>
        <v>9.7565523893083927E-3</v>
      </c>
      <c r="C170" s="4">
        <f>IFERROR(Merged_data[[#This Row],[AAPL_Close]]/Merged_data!B169-1,"")</f>
        <v>2.0340163119156429E-2</v>
      </c>
      <c r="D170" s="4">
        <f t="shared" si="2"/>
        <v>1.0818644050129755E-2</v>
      </c>
      <c r="E170" s="4">
        <v>6.9086480636983971E-3</v>
      </c>
      <c r="F170">
        <v>168</v>
      </c>
    </row>
    <row r="171" spans="1:6" x14ac:dyDescent="0.25">
      <c r="A171" s="4">
        <f>IFERROR(Merged_data[[#This Row],[BTCUSD_Close]]/Merged_data!D170-1,"")</f>
        <v>-1.273641682140092E-2</v>
      </c>
      <c r="B171" s="4">
        <f>IFERROR(Merged_data[[#This Row],[XAUUSD_Close]]/Merged_data!C170-1, "")</f>
        <v>1.0740073568368702E-2</v>
      </c>
      <c r="C171" s="4">
        <f>IFERROR(Merged_data[[#This Row],[AAPL_Close]]/Merged_data!B170-1,"")</f>
        <v>1.2916118340888127E-2</v>
      </c>
      <c r="D171" s="4">
        <f t="shared" si="2"/>
        <v>4.3499398831936438E-3</v>
      </c>
      <c r="E171" s="4">
        <v>6.958107413276203E-3</v>
      </c>
      <c r="F171">
        <v>169</v>
      </c>
    </row>
    <row r="172" spans="1:6" x14ac:dyDescent="0.25">
      <c r="A172" s="4">
        <f>IFERROR(Merged_data[[#This Row],[BTCUSD_Close]]/Merged_data!D171-1,"")</f>
        <v>3.4855587479207584E-2</v>
      </c>
      <c r="B172" s="4">
        <f>IFERROR(Merged_data[[#This Row],[XAUUSD_Close]]/Merged_data!C171-1, "")</f>
        <v>5.7360660770848781E-3</v>
      </c>
      <c r="C172" s="4">
        <f>IFERROR(Merged_data[[#This Row],[AAPL_Close]]/Merged_data!B171-1,"")</f>
        <v>2.2230776633625382E-2</v>
      </c>
      <c r="D172" s="4">
        <f t="shared" si="2"/>
        <v>1.942033566468384E-2</v>
      </c>
      <c r="E172" s="4">
        <v>7.13570134376138E-3</v>
      </c>
      <c r="F172">
        <v>170</v>
      </c>
    </row>
    <row r="173" spans="1:6" x14ac:dyDescent="0.25">
      <c r="A173" s="4">
        <f>IFERROR(Merged_data[[#This Row],[BTCUSD_Close]]/Merged_data!D172-1,"")</f>
        <v>3.360853364506422E-3</v>
      </c>
      <c r="B173" s="4">
        <f>IFERROR(Merged_data[[#This Row],[XAUUSD_Close]]/Merged_data!C172-1, "")</f>
        <v>-9.4023394164116647E-3</v>
      </c>
      <c r="C173" s="4">
        <f>IFERROR(Merged_data[[#This Row],[AAPL_Close]]/Merged_data!B172-1,"")</f>
        <v>5.2250047072115446E-3</v>
      </c>
      <c r="D173" s="4">
        <f t="shared" si="2"/>
        <v>-1.1851783450492763E-3</v>
      </c>
      <c r="E173" s="4">
        <v>7.1537245677042007E-3</v>
      </c>
      <c r="F173">
        <v>171</v>
      </c>
    </row>
    <row r="174" spans="1:6" x14ac:dyDescent="0.25">
      <c r="A174" s="4">
        <f>IFERROR(Merged_data[[#This Row],[BTCUSD_Close]]/Merged_data!D173-1,"")</f>
        <v>-1.4954853273137725E-2</v>
      </c>
      <c r="B174" s="4">
        <f>IFERROR(Merged_data[[#This Row],[XAUUSD_Close]]/Merged_data!C173-1, "")</f>
        <v>3.2650803266884854E-3</v>
      </c>
      <c r="C174" s="4">
        <f>IFERROR(Merged_data[[#This Row],[AAPL_Close]]/Merged_data!B173-1,"")</f>
        <v>-1.6857878716928232E-2</v>
      </c>
      <c r="D174" s="4">
        <f t="shared" si="2"/>
        <v>-8.2377874663443935E-3</v>
      </c>
      <c r="E174" s="4">
        <v>7.2649836686426656E-3</v>
      </c>
      <c r="F174">
        <v>172</v>
      </c>
    </row>
    <row r="175" spans="1:6" x14ac:dyDescent="0.25">
      <c r="A175" s="4">
        <f>IFERROR(Merged_data[[#This Row],[BTCUSD_Close]]/Merged_data!D174-1,"")</f>
        <v>6.2741981685625614E-3</v>
      </c>
      <c r="B175" s="4">
        <f>IFERROR(Merged_data[[#This Row],[XAUUSD_Close]]/Merged_data!C174-1, "")</f>
        <v>-1.0596455162100948E-2</v>
      </c>
      <c r="C175" s="4">
        <f>IFERROR(Merged_data[[#This Row],[AAPL_Close]]/Merged_data!B174-1,"")</f>
        <v>2.8578232912601642E-4</v>
      </c>
      <c r="D175" s="4">
        <f t="shared" si="2"/>
        <v>-2.2705879155338064E-3</v>
      </c>
      <c r="E175" s="4">
        <v>7.3257958135307449E-3</v>
      </c>
      <c r="F175">
        <v>173</v>
      </c>
    </row>
    <row r="176" spans="1:6" x14ac:dyDescent="0.25">
      <c r="A176" s="4">
        <f>IFERROR(Merged_data[[#This Row],[BTCUSD_Close]]/Merged_data!D175-1,"")</f>
        <v>1.7970615243342536E-2</v>
      </c>
      <c r="B176" s="4">
        <f>IFERROR(Merged_data[[#This Row],[XAUUSD_Close]]/Merged_data!C175-1, "")</f>
        <v>3.6588265404249309E-3</v>
      </c>
      <c r="C176" s="4">
        <f>IFERROR(Merged_data[[#This Row],[AAPL_Close]]/Merged_data!B175-1,"")</f>
        <v>5.3806961573257261E-3</v>
      </c>
      <c r="D176" s="4">
        <f t="shared" si="2"/>
        <v>8.468924036370451E-3</v>
      </c>
      <c r="E176" s="4">
        <v>7.5212974493182212E-3</v>
      </c>
      <c r="F176">
        <v>174</v>
      </c>
    </row>
    <row r="177" spans="1:6" x14ac:dyDescent="0.25">
      <c r="A177" s="4">
        <f>IFERROR(Merged_data[[#This Row],[BTCUSD_Close]]/Merged_data!D176-1,"")</f>
        <v>5.0741044769387678E-2</v>
      </c>
      <c r="B177" s="4">
        <f>IFERROR(Merged_data[[#This Row],[XAUUSD_Close]]/Merged_data!C176-1, "")</f>
        <v>3.1264287341736807E-3</v>
      </c>
      <c r="C177" s="4">
        <f>IFERROR(Merged_data[[#This Row],[AAPL_Close]]/Merged_data!B176-1,"")</f>
        <v>6.0149663730226788E-3</v>
      </c>
      <c r="D177" s="4">
        <f t="shared" si="2"/>
        <v>1.8277374836392576E-2</v>
      </c>
      <c r="E177" s="4">
        <v>7.5354093011777085E-3</v>
      </c>
      <c r="F177">
        <v>175</v>
      </c>
    </row>
    <row r="178" spans="1:6" x14ac:dyDescent="0.25">
      <c r="A178" s="4">
        <f>IFERROR(Merged_data[[#This Row],[BTCUSD_Close]]/Merged_data!D177-1,"")</f>
        <v>1.3272436943047028E-2</v>
      </c>
      <c r="B178" s="4">
        <f>IFERROR(Merged_data[[#This Row],[XAUUSD_Close]]/Merged_data!C177-1, "")</f>
        <v>9.7471604626291342E-3</v>
      </c>
      <c r="C178" s="4">
        <f>IFERROR(Merged_data[[#This Row],[AAPL_Close]]/Merged_data!B177-1,"")</f>
        <v>-5.8848453462643224E-3</v>
      </c>
      <c r="D178" s="4">
        <f t="shared" si="2"/>
        <v>6.1151416640864648E-3</v>
      </c>
      <c r="E178" s="4">
        <v>7.5529763323657576E-3</v>
      </c>
      <c r="F178">
        <v>176</v>
      </c>
    </row>
    <row r="179" spans="1:6" x14ac:dyDescent="0.25">
      <c r="A179" s="4">
        <f>IFERROR(Merged_data[[#This Row],[BTCUSD_Close]]/Merged_data!D178-1,"")</f>
        <v>1.7004439624495937E-2</v>
      </c>
      <c r="B179" s="4">
        <f>IFERROR(Merged_data[[#This Row],[XAUUSD_Close]]/Merged_data!C178-1, "")</f>
        <v>-3.8552694889980588E-3</v>
      </c>
      <c r="C179" s="4">
        <f>IFERROR(Merged_data[[#This Row],[AAPL_Close]]/Merged_data!B178-1,"")</f>
        <v>-1.2028793332070409E-2</v>
      </c>
      <c r="D179" s="4">
        <f t="shared" si="2"/>
        <v>-4.9413907871565139E-5</v>
      </c>
      <c r="E179" s="4">
        <v>7.6807650485227526E-3</v>
      </c>
      <c r="F179">
        <v>177</v>
      </c>
    </row>
    <row r="180" spans="1:6" x14ac:dyDescent="0.25">
      <c r="A180" s="4">
        <f>IFERROR(Merged_data[[#This Row],[BTCUSD_Close]]/Merged_data!D179-1,"")</f>
        <v>-2.071895697088344E-2</v>
      </c>
      <c r="B180" s="4">
        <f>IFERROR(Merged_data[[#This Row],[XAUUSD_Close]]/Merged_data!C179-1, "")</f>
        <v>-5.8381847791464381E-3</v>
      </c>
      <c r="C180" s="4">
        <f>IFERROR(Merged_data[[#This Row],[AAPL_Close]]/Merged_data!B179-1,"")</f>
        <v>2.3487680951010947E-3</v>
      </c>
      <c r="D180" s="4">
        <f t="shared" si="2"/>
        <v>-7.8463305743932781E-3</v>
      </c>
      <c r="E180" s="4">
        <v>7.9572311600865087E-3</v>
      </c>
      <c r="F180">
        <v>178</v>
      </c>
    </row>
    <row r="181" spans="1:6" x14ac:dyDescent="0.25">
      <c r="A181" s="4">
        <f>IFERROR(Merged_data[[#This Row],[BTCUSD_Close]]/Merged_data!D180-1,"")</f>
        <v>1.5287371967196428E-2</v>
      </c>
      <c r="B181" s="4">
        <f>IFERROR(Merged_data[[#This Row],[XAUUSD_Close]]/Merged_data!C180-1, "")</f>
        <v>7.0969032652072883E-3</v>
      </c>
      <c r="C181" s="4">
        <f>IFERROR(Merged_data[[#This Row],[AAPL_Close]]/Merged_data!B180-1,"")</f>
        <v>5.0212806656781961E-3</v>
      </c>
      <c r="D181" s="4">
        <f t="shared" si="2"/>
        <v>8.9313570959453029E-3</v>
      </c>
      <c r="E181" s="4">
        <v>8.0251848425074053E-3</v>
      </c>
      <c r="F181">
        <v>179</v>
      </c>
    </row>
    <row r="182" spans="1:6" x14ac:dyDescent="0.25">
      <c r="A182" s="4">
        <f>IFERROR(Merged_data[[#This Row],[BTCUSD_Close]]/Merged_data!D181-1,"")</f>
        <v>8.2868993254849865E-3</v>
      </c>
      <c r="B182" s="4">
        <f>IFERROR(Merged_data[[#This Row],[XAUUSD_Close]]/Merged_data!C181-1, "")</f>
        <v>-2.5003173939344148E-3</v>
      </c>
      <c r="C182" s="4">
        <f>IFERROR(Merged_data[[#This Row],[AAPL_Close]]/Merged_data!B181-1,"")</f>
        <v>-6.6615911686329632E-4</v>
      </c>
      <c r="D182" s="4">
        <f t="shared" si="2"/>
        <v>1.2860951050127408E-3</v>
      </c>
      <c r="E182" s="4">
        <v>8.1162120426306553E-3</v>
      </c>
      <c r="F182">
        <v>180</v>
      </c>
    </row>
    <row r="183" spans="1:6" x14ac:dyDescent="0.25">
      <c r="A183" s="4">
        <f>IFERROR(Merged_data[[#This Row],[BTCUSD_Close]]/Merged_data!D182-1,"")</f>
        <v>-2.4074658866155896E-2</v>
      </c>
      <c r="B183" s="4">
        <f>IFERROR(Merged_data[[#This Row],[XAUUSD_Close]]/Merged_data!C182-1, "")</f>
        <v>2.7222048361810192E-3</v>
      </c>
      <c r="C183" s="4">
        <f>IFERROR(Merged_data[[#This Row],[AAPL_Close]]/Merged_data!B182-1,"")</f>
        <v>5.5232834968097499E-3</v>
      </c>
      <c r="D183" s="4">
        <f t="shared" si="2"/>
        <v>-4.4765306763314356E-3</v>
      </c>
      <c r="E183" s="4">
        <v>8.1625557213488957E-3</v>
      </c>
      <c r="F183">
        <v>181</v>
      </c>
    </row>
    <row r="184" spans="1:6" x14ac:dyDescent="0.25">
      <c r="A184" s="4">
        <f>IFERROR(Merged_data[[#This Row],[BTCUSD_Close]]/Merged_data!D183-1,"")</f>
        <v>-1.3879782351388092E-3</v>
      </c>
      <c r="B184" s="4">
        <f>IFERROR(Merged_data[[#This Row],[XAUUSD_Close]]/Merged_data!C183-1, "")</f>
        <v>1.4586528367422913E-2</v>
      </c>
      <c r="C184" s="4">
        <f>IFERROR(Merged_data[[#This Row],[AAPL_Close]]/Merged_data!B183-1,"")</f>
        <v>6.155885974050479E-3</v>
      </c>
      <c r="D184" s="4">
        <f t="shared" si="2"/>
        <v>7.2649836686426656E-3</v>
      </c>
      <c r="E184" s="4">
        <v>8.2232306101725373E-3</v>
      </c>
      <c r="F184">
        <v>182</v>
      </c>
    </row>
    <row r="185" spans="1:6" x14ac:dyDescent="0.25">
      <c r="A185" s="4">
        <f>IFERROR(Merged_data[[#This Row],[BTCUSD_Close]]/Merged_data!D184-1,"")</f>
        <v>1.8426931800740176E-2</v>
      </c>
      <c r="B185" s="4">
        <f>IFERROR(Merged_data[[#This Row],[XAUUSD_Close]]/Merged_data!C184-1, "")</f>
        <v>1.0187996650118381E-2</v>
      </c>
      <c r="C185" s="4">
        <f>IFERROR(Merged_data[[#This Row],[AAPL_Close]]/Merged_data!B184-1,"")</f>
        <v>9.0361445783133654E-3</v>
      </c>
      <c r="D185" s="4">
        <f t="shared" si="2"/>
        <v>1.2314121573763414E-2</v>
      </c>
      <c r="E185" s="4">
        <v>8.4662280399702017E-3</v>
      </c>
      <c r="F185">
        <v>183</v>
      </c>
    </row>
    <row r="186" spans="1:6" x14ac:dyDescent="0.25">
      <c r="A186" s="4">
        <f>IFERROR(Merged_data[[#This Row],[BTCUSD_Close]]/Merged_data!D185-1,"")</f>
        <v>-1.1010172897391923E-2</v>
      </c>
      <c r="B186" s="4">
        <f>IFERROR(Merged_data[[#This Row],[XAUUSD_Close]]/Merged_data!C185-1, "")</f>
        <v>-1.2961335996701351E-2</v>
      </c>
      <c r="C186" s="4">
        <f>IFERROR(Merged_data[[#This Row],[AAPL_Close]]/Merged_data!B185-1,"")</f>
        <v>-1.1660447761193682E-3</v>
      </c>
      <c r="D186" s="4">
        <f t="shared" si="2"/>
        <v>-8.8373997007339285E-3</v>
      </c>
      <c r="E186" s="4">
        <v>8.468924036370451E-3</v>
      </c>
      <c r="F186">
        <v>184</v>
      </c>
    </row>
    <row r="187" spans="1:6" x14ac:dyDescent="0.25">
      <c r="A187" s="4">
        <f>IFERROR(Merged_data[[#This Row],[BTCUSD_Close]]/Merged_data!D186-1,"")</f>
        <v>4.0467321368100606E-3</v>
      </c>
      <c r="B187" s="4">
        <f>IFERROR(Merged_data[[#This Row],[XAUUSD_Close]]/Merged_data!C186-1, "")</f>
        <v>-5.5029647813206184E-3</v>
      </c>
      <c r="C187" s="4">
        <f>IFERROR(Merged_data[[#This Row],[AAPL_Close]]/Merged_data!B186-1,"")</f>
        <v>-1.8211533971516092E-3</v>
      </c>
      <c r="D187" s="4">
        <f t="shared" si="2"/>
        <v>-1.5335122906307121E-3</v>
      </c>
      <c r="E187" s="4">
        <v>8.5084201722865575E-3</v>
      </c>
      <c r="F187">
        <v>185</v>
      </c>
    </row>
    <row r="188" spans="1:6" x14ac:dyDescent="0.25">
      <c r="A188" s="4">
        <f>IFERROR(Merged_data[[#This Row],[BTCUSD_Close]]/Merged_data!D187-1,"")</f>
        <v>-1.5514595524376507E-2</v>
      </c>
      <c r="B188" s="4">
        <f>IFERROR(Merged_data[[#This Row],[XAUUSD_Close]]/Merged_data!C187-1, "")</f>
        <v>-9.2292849456381276E-3</v>
      </c>
      <c r="C188" s="4">
        <f>IFERROR(Merged_data[[#This Row],[AAPL_Close]]/Merged_data!B187-1,"")</f>
        <v>5.6137724550908707E-4</v>
      </c>
      <c r="D188" s="4">
        <f t="shared" si="2"/>
        <v>-8.1776794619154766E-3</v>
      </c>
      <c r="E188" s="4">
        <v>8.5357732212913325E-3</v>
      </c>
      <c r="F188">
        <v>186</v>
      </c>
    </row>
    <row r="189" spans="1:6" x14ac:dyDescent="0.25">
      <c r="A189" s="4">
        <f>IFERROR(Merged_data[[#This Row],[BTCUSD_Close]]/Merged_data!D188-1,"")</f>
        <v>1.1648024118261713E-2</v>
      </c>
      <c r="B189" s="4">
        <f>IFERROR(Merged_data[[#This Row],[XAUUSD_Close]]/Merged_data!C188-1, "")</f>
        <v>-6.8643474899888757E-3</v>
      </c>
      <c r="C189" s="4">
        <f>IFERROR(Merged_data[[#This Row],[AAPL_Close]]/Merged_data!B188-1,"")</f>
        <v>7.9483822704329299E-4</v>
      </c>
      <c r="D189" s="4">
        <f t="shared" si="2"/>
        <v>9.8711970759595086E-4</v>
      </c>
      <c r="E189" s="4">
        <v>8.9313570959453029E-3</v>
      </c>
      <c r="F189">
        <v>187</v>
      </c>
    </row>
    <row r="190" spans="1:6" x14ac:dyDescent="0.25">
      <c r="A190" s="4">
        <f>IFERROR(Merged_data[[#This Row],[BTCUSD_Close]]/Merged_data!D189-1,"")</f>
        <v>-4.402377283733161E-3</v>
      </c>
      <c r="B190" s="4">
        <f>IFERROR(Merged_data[[#This Row],[XAUUSD_Close]]/Merged_data!C189-1, "")</f>
        <v>3.6173021080816437E-3</v>
      </c>
      <c r="C190" s="4">
        <f>IFERROR(Merged_data[[#This Row],[AAPL_Close]]/Merged_data!B189-1,"")</f>
        <v>-1.2987619715019827E-2</v>
      </c>
      <c r="D190" s="4">
        <f t="shared" si="2"/>
        <v>-3.7700782563932387E-3</v>
      </c>
      <c r="E190" s="4">
        <v>9.139859795850391E-3</v>
      </c>
      <c r="F190">
        <v>188</v>
      </c>
    </row>
    <row r="191" spans="1:6" x14ac:dyDescent="0.25">
      <c r="A191" s="4">
        <f>IFERROR(Merged_data[[#This Row],[BTCUSD_Close]]/Merged_data!D190-1,"")</f>
        <v>-2.4065035119644751E-3</v>
      </c>
      <c r="B191" s="4">
        <f>IFERROR(Merged_data[[#This Row],[XAUUSD_Close]]/Merged_data!C190-1, "")</f>
        <v>-1.5359456985554298E-2</v>
      </c>
      <c r="C191" s="4">
        <f>IFERROR(Merged_data[[#This Row],[AAPL_Close]]/Merged_data!B190-1,"")</f>
        <v>-1.0507880910682998E-2</v>
      </c>
      <c r="D191" s="4">
        <f t="shared" si="2"/>
        <v>-1.0018098121015962E-2</v>
      </c>
      <c r="E191" s="4">
        <v>9.3044916503911869E-3</v>
      </c>
      <c r="F191">
        <v>189</v>
      </c>
    </row>
    <row r="192" spans="1:6" x14ac:dyDescent="0.25">
      <c r="A192" s="4">
        <f>IFERROR(Merged_data[[#This Row],[BTCUSD_Close]]/Merged_data!D191-1,"")</f>
        <v>-6.5635255508673662E-3</v>
      </c>
      <c r="B192" s="4">
        <f>IFERROR(Merged_data[[#This Row],[XAUUSD_Close]]/Merged_data!C191-1, "")</f>
        <v>4.416092711996944E-3</v>
      </c>
      <c r="C192" s="4">
        <f>IFERROR(Merged_data[[#This Row],[AAPL_Close]]/Merged_data!B191-1,"")</f>
        <v>-7.0796460176991705E-3</v>
      </c>
      <c r="D192" s="4">
        <f t="shared" si="2"/>
        <v>-2.3265143857711832E-3</v>
      </c>
      <c r="E192" s="4">
        <v>9.5336005224078597E-3</v>
      </c>
      <c r="F192">
        <v>190</v>
      </c>
    </row>
    <row r="193" spans="1:6" x14ac:dyDescent="0.25">
      <c r="A193" s="4">
        <f>IFERROR(Merged_data[[#This Row],[BTCUSD_Close]]/Merged_data!D192-1,"")</f>
        <v>-2.7929126088635292E-2</v>
      </c>
      <c r="B193" s="4">
        <f>IFERROR(Merged_data[[#This Row],[XAUUSD_Close]]/Merged_data!C192-1, "")</f>
        <v>2.039826929302091E-2</v>
      </c>
      <c r="C193" s="4">
        <f>IFERROR(Merged_data[[#This Row],[AAPL_Close]]/Merged_data!B192-1,"")</f>
        <v>-2.5003613238907318E-2</v>
      </c>
      <c r="D193" s="4">
        <f t="shared" si="2"/>
        <v>-7.720514081054417E-3</v>
      </c>
      <c r="E193" s="4">
        <v>9.5668400882339289E-3</v>
      </c>
      <c r="F193">
        <v>191</v>
      </c>
    </row>
    <row r="194" spans="1:6" x14ac:dyDescent="0.25">
      <c r="A194" s="4">
        <f>IFERROR(Merged_data[[#This Row],[BTCUSD_Close]]/Merged_data!D193-1,"")</f>
        <v>1.6020831494394816E-2</v>
      </c>
      <c r="B194" s="4">
        <f>IFERROR(Merged_data[[#This Row],[XAUUSD_Close]]/Merged_data!C193-1, "")</f>
        <v>4.9477301059397405E-3</v>
      </c>
      <c r="C194" s="4">
        <f>IFERROR(Merged_data[[#This Row],[AAPL_Close]]/Merged_data!B193-1,"")</f>
        <v>4.792963731593991E-3</v>
      </c>
      <c r="D194" s="4">
        <f t="shared" si="2"/>
        <v>8.2232306101725373E-3</v>
      </c>
      <c r="E194" s="4">
        <v>9.6984995292167305E-3</v>
      </c>
      <c r="F194">
        <v>192</v>
      </c>
    </row>
    <row r="195" spans="1:6" x14ac:dyDescent="0.25">
      <c r="A195" s="4">
        <f>IFERROR(Merged_data[[#This Row],[BTCUSD_Close]]/Merged_data!D194-1,"")</f>
        <v>-1.3022892141957398E-2</v>
      </c>
      <c r="B195" s="4">
        <f>IFERROR(Merged_data[[#This Row],[XAUUSD_Close]]/Merged_data!C194-1, "")</f>
        <v>2.1311881151435674E-3</v>
      </c>
      <c r="C195" s="4">
        <f>IFERROR(Merged_data[[#This Row],[AAPL_Close]]/Merged_data!B194-1,"")</f>
        <v>-2.1145807720679421E-3</v>
      </c>
      <c r="D195" s="4">
        <f t="shared" si="2"/>
        <v>-3.6887666281501747E-3</v>
      </c>
      <c r="E195" s="4">
        <v>9.9512434686637834E-3</v>
      </c>
      <c r="F195">
        <v>193</v>
      </c>
    </row>
    <row r="196" spans="1:6" x14ac:dyDescent="0.25">
      <c r="A196" s="4">
        <f>IFERROR(Merged_data[[#This Row],[BTCUSD_Close]]/Merged_data!D195-1,"")</f>
        <v>1.3001073886942605E-2</v>
      </c>
      <c r="B196" s="4">
        <f>IFERROR(Merged_data[[#This Row],[XAUUSD_Close]]/Merged_data!C195-1, "")</f>
        <v>-3.410339569847709E-3</v>
      </c>
      <c r="C196" s="4">
        <f>IFERROR(Merged_data[[#This Row],[AAPL_Close]]/Merged_data!B195-1,"")</f>
        <v>5.0906761285235635E-2</v>
      </c>
      <c r="D196" s="4">
        <f t="shared" ref="D196:D250" si="3">SUMPRODUCT(A196:C196,$I$2:$K$2)</f>
        <v>1.7808214723714386E-2</v>
      </c>
      <c r="E196" s="4">
        <v>1.0149458282477153E-2</v>
      </c>
      <c r="F196">
        <v>194</v>
      </c>
    </row>
    <row r="197" spans="1:6" x14ac:dyDescent="0.25">
      <c r="A197" s="4">
        <f>IFERROR(Merged_data[[#This Row],[BTCUSD_Close]]/Merged_data!D196-1,"")</f>
        <v>1.7978328684514544E-2</v>
      </c>
      <c r="B197" s="4">
        <f>IFERROR(Merged_data[[#This Row],[XAUUSD_Close]]/Merged_data!C196-1, "")</f>
        <v>8.4333398132883097E-3</v>
      </c>
      <c r="C197" s="4">
        <f>IFERROR(Merged_data[[#This Row],[AAPL_Close]]/Merged_data!B196-1,"")</f>
        <v>3.1793669402110147E-2</v>
      </c>
      <c r="D197" s="4">
        <f t="shared" si="3"/>
        <v>1.8304935351302731E-2</v>
      </c>
      <c r="E197" s="4">
        <v>1.0176638717651565E-2</v>
      </c>
      <c r="F197">
        <v>195</v>
      </c>
    </row>
    <row r="198" spans="1:6" x14ac:dyDescent="0.25">
      <c r="A198" s="4">
        <f>IFERROR(Merged_data[[#This Row],[BTCUSD_Close]]/Merged_data!D197-1,"")</f>
        <v>-5.710529909860651E-3</v>
      </c>
      <c r="B198" s="4">
        <f>IFERROR(Merged_data[[#This Row],[XAUUSD_Close]]/Merged_data!C197-1, "")</f>
        <v>2.1337461518999845E-4</v>
      </c>
      <c r="C198" s="4">
        <f>IFERROR(Merged_data[[#This Row],[AAPL_Close]]/Merged_data!B197-1,"")</f>
        <v>4.235786029177846E-2</v>
      </c>
      <c r="D198" s="4">
        <f t="shared" si="3"/>
        <v>1.1079548960651341E-2</v>
      </c>
      <c r="E198" s="4">
        <v>1.025944078474561E-2</v>
      </c>
      <c r="F198">
        <v>196</v>
      </c>
    </row>
    <row r="199" spans="1:6" x14ac:dyDescent="0.25">
      <c r="A199" s="4">
        <f>IFERROR(Merged_data[[#This Row],[BTCUSD_Close]]/Merged_data!D198-1,"")</f>
        <v>1.9238858889280008E-2</v>
      </c>
      <c r="B199" s="4">
        <f>IFERROR(Merged_data[[#This Row],[XAUUSD_Close]]/Merged_data!C198-1, "")</f>
        <v>-1.6442523992167168E-2</v>
      </c>
      <c r="C199" s="4">
        <f>IFERROR(Merged_data[[#This Row],[AAPL_Close]]/Merged_data!B198-1,"")</f>
        <v>-9.4615216917374179E-3</v>
      </c>
      <c r="D199" s="4">
        <f t="shared" si="3"/>
        <v>-3.6438084376040902E-3</v>
      </c>
      <c r="E199" s="4">
        <v>1.0342484897654948E-2</v>
      </c>
      <c r="F199">
        <v>197</v>
      </c>
    </row>
    <row r="200" spans="1:6" x14ac:dyDescent="0.25">
      <c r="A200" s="4">
        <f>IFERROR(Merged_data[[#This Row],[BTCUSD_Close]]/Merged_data!D199-1,"")</f>
        <v>9.9305953303459038E-3</v>
      </c>
      <c r="B200" s="4">
        <f>IFERROR(Merged_data[[#This Row],[XAUUSD_Close]]/Merged_data!C199-1, "")</f>
        <v>1.6693466960846504E-3</v>
      </c>
      <c r="C200" s="4">
        <f>IFERROR(Merged_data[[#This Row],[AAPL_Close]]/Merged_data!B199-1,"")</f>
        <v>1.0872435953869219E-2</v>
      </c>
      <c r="D200" s="4">
        <f t="shared" si="3"/>
        <v>6.9086480636983971E-3</v>
      </c>
      <c r="E200" s="4">
        <v>1.0485933191462604E-2</v>
      </c>
      <c r="F200">
        <v>198</v>
      </c>
    </row>
    <row r="201" spans="1:6" x14ac:dyDescent="0.25">
      <c r="A201" s="4">
        <f>IFERROR(Merged_data[[#This Row],[BTCUSD_Close]]/Merged_data!D200-1,"")</f>
        <v>2.2318040416002827E-2</v>
      </c>
      <c r="B201" s="4">
        <f>IFERROR(Merged_data[[#This Row],[XAUUSD_Close]]/Merged_data!C200-1, "")</f>
        <v>2.326619785825601E-3</v>
      </c>
      <c r="C201" s="4">
        <f>IFERROR(Merged_data[[#This Row],[AAPL_Close]]/Merged_data!B200-1,"")</f>
        <v>1.6024384933594593E-2</v>
      </c>
      <c r="D201" s="4">
        <f t="shared" si="3"/>
        <v>1.2433375519209467E-2</v>
      </c>
      <c r="E201" s="4">
        <v>1.0529840623894992E-2</v>
      </c>
      <c r="F201">
        <v>199</v>
      </c>
    </row>
    <row r="202" spans="1:6" x14ac:dyDescent="0.25">
      <c r="A202" s="4">
        <f>IFERROR(Merged_data[[#This Row],[BTCUSD_Close]]/Merged_data!D201-1,"")</f>
        <v>-3.7526819438892467E-2</v>
      </c>
      <c r="B202" s="4">
        <f>IFERROR(Merged_data[[#This Row],[XAUUSD_Close]]/Merged_data!C201-1, "")</f>
        <v>-6.0965525872357373E-3</v>
      </c>
      <c r="C202" s="4">
        <f>IFERROR(Merged_data[[#This Row],[AAPL_Close]]/Merged_data!B201-1,"")</f>
        <v>-2.3571765310933523E-3</v>
      </c>
      <c r="D202" s="4">
        <f t="shared" si="3"/>
        <v>-1.4403819825890039E-2</v>
      </c>
      <c r="E202" s="4">
        <v>1.0636656336914064E-2</v>
      </c>
      <c r="F202">
        <v>200</v>
      </c>
    </row>
    <row r="203" spans="1:6" x14ac:dyDescent="0.25">
      <c r="A203" s="4">
        <f>IFERROR(Merged_data[[#This Row],[BTCUSD_Close]]/Merged_data!D202-1,"")</f>
        <v>-8.5184651505776365E-3</v>
      </c>
      <c r="B203" s="4">
        <f>IFERROR(Merged_data[[#This Row],[XAUUSD_Close]]/Merged_data!C202-1, "")</f>
        <v>1.0792871308502594E-3</v>
      </c>
      <c r="C203" s="4">
        <f>IFERROR(Merged_data[[#This Row],[AAPL_Close]]/Merged_data!B202-1,"")</f>
        <v>-5.112123034624938E-3</v>
      </c>
      <c r="D203" s="4">
        <f t="shared" si="3"/>
        <v>-3.6574616032206686E-3</v>
      </c>
      <c r="E203" s="4">
        <v>1.0679255922227848E-2</v>
      </c>
      <c r="F203">
        <v>201</v>
      </c>
    </row>
    <row r="204" spans="1:6" x14ac:dyDescent="0.25">
      <c r="A204" s="4">
        <f>IFERROR(Merged_data[[#This Row],[BTCUSD_Close]]/Merged_data!D203-1,"")</f>
        <v>-2.1799716176243988E-3</v>
      </c>
      <c r="B204" s="4">
        <f>IFERROR(Merged_data[[#This Row],[XAUUSD_Close]]/Merged_data!C203-1, "")</f>
        <v>-1.8627578699275116E-3</v>
      </c>
      <c r="C204" s="4">
        <f>IFERROR(Merged_data[[#This Row],[AAPL_Close]]/Merged_data!B203-1,"")</f>
        <v>-3.0225830130835574E-3</v>
      </c>
      <c r="D204" s="4">
        <f t="shared" si="3"/>
        <v>-2.3058695371833914E-3</v>
      </c>
      <c r="E204" s="4">
        <v>1.0818644050129755E-2</v>
      </c>
      <c r="F204">
        <v>202</v>
      </c>
    </row>
    <row r="205" spans="1:6" x14ac:dyDescent="0.25">
      <c r="A205" s="4">
        <f>IFERROR(Merged_data[[#This Row],[BTCUSD_Close]]/Merged_data!D204-1,"")</f>
        <v>-2.8178788372073105E-2</v>
      </c>
      <c r="B205" s="4">
        <f>IFERROR(Merged_data[[#This Row],[XAUUSD_Close]]/Merged_data!C204-1, "")</f>
        <v>-5.1051406951572176E-3</v>
      </c>
      <c r="C205" s="4">
        <f>IFERROR(Merged_data[[#This Row],[AAPL_Close]]/Merged_data!B204-1,"")</f>
        <v>-1.4292520247736196E-3</v>
      </c>
      <c r="D205" s="4">
        <f t="shared" si="3"/>
        <v>-1.0924468397116905E-2</v>
      </c>
      <c r="E205" s="4">
        <v>1.0818789247942639E-2</v>
      </c>
      <c r="F205">
        <v>203</v>
      </c>
    </row>
    <row r="206" spans="1:6" x14ac:dyDescent="0.25">
      <c r="A206" s="4">
        <f>IFERROR(Merged_data[[#This Row],[BTCUSD_Close]]/Merged_data!D205-1,"")</f>
        <v>8.4633694789737479E-3</v>
      </c>
      <c r="B206" s="4">
        <f>IFERROR(Merged_data[[#This Row],[XAUUSD_Close]]/Merged_data!C205-1, "")</f>
        <v>9.8359419765372547E-3</v>
      </c>
      <c r="C206" s="4">
        <f>IFERROR(Merged_data[[#This Row],[AAPL_Close]]/Merged_data!B205-1,"")</f>
        <v>-1.9734559333795976E-2</v>
      </c>
      <c r="D206" s="4">
        <f t="shared" si="3"/>
        <v>5.5301983416823457E-4</v>
      </c>
      <c r="E206" s="4">
        <v>1.1079548960651341E-2</v>
      </c>
      <c r="F206">
        <v>204</v>
      </c>
    </row>
    <row r="207" spans="1:6" x14ac:dyDescent="0.25">
      <c r="A207" s="4">
        <f>IFERROR(Merged_data[[#This Row],[BTCUSD_Close]]/Merged_data!D206-1,"")</f>
        <v>-1.548212256316106E-2</v>
      </c>
      <c r="B207" s="4">
        <f>IFERROR(Merged_data[[#This Row],[XAUUSD_Close]]/Merged_data!C206-1, "")</f>
        <v>-2.8191601351643669E-3</v>
      </c>
      <c r="C207" s="4">
        <f>IFERROR(Merged_data[[#This Row],[AAPL_Close]]/Merged_data!B206-1,"")</f>
        <v>-4.9112871111897105E-3</v>
      </c>
      <c r="D207" s="4">
        <f t="shared" si="3"/>
        <v>-7.2456869563709784E-3</v>
      </c>
      <c r="E207" s="4">
        <v>1.1132756661301558E-2</v>
      </c>
      <c r="F207">
        <v>205</v>
      </c>
    </row>
    <row r="208" spans="1:6" x14ac:dyDescent="0.25">
      <c r="A208" s="4">
        <f>IFERROR(Merged_data[[#This Row],[BTCUSD_Close]]/Merged_data!D207-1,"")</f>
        <v>3.5500226427157111E-2</v>
      </c>
      <c r="B208" s="4">
        <f>IFERROR(Merged_data[[#This Row],[XAUUSD_Close]]/Merged_data!C207-1, "")</f>
        <v>1.0230378173596177E-2</v>
      </c>
      <c r="C208" s="4">
        <f>IFERROR(Merged_data[[#This Row],[AAPL_Close]]/Merged_data!B207-1,"")</f>
        <v>1.2716763005780285E-2</v>
      </c>
      <c r="D208" s="4">
        <f t="shared" si="3"/>
        <v>1.855724809931969E-2</v>
      </c>
      <c r="E208" s="4">
        <v>1.1217792894885238E-2</v>
      </c>
      <c r="F208">
        <v>206</v>
      </c>
    </row>
    <row r="209" spans="1:6" x14ac:dyDescent="0.25">
      <c r="A209" s="4">
        <f>IFERROR(Merged_data[[#This Row],[BTCUSD_Close]]/Merged_data!D208-1,"")</f>
        <v>-5.7607381428093629E-2</v>
      </c>
      <c r="B209" s="4">
        <f>IFERROR(Merged_data[[#This Row],[XAUUSD_Close]]/Merged_data!C208-1, "")</f>
        <v>-2.2115269170396301E-3</v>
      </c>
      <c r="C209" s="4">
        <f>IFERROR(Merged_data[[#This Row],[AAPL_Close]]/Merged_data!B208-1,"")</f>
        <v>-2.6343519494204104E-3</v>
      </c>
      <c r="D209" s="4">
        <f t="shared" si="3"/>
        <v>-1.8957130780070063E-2</v>
      </c>
      <c r="E209" s="4">
        <v>1.1615740331406133E-2</v>
      </c>
      <c r="F209">
        <v>207</v>
      </c>
    </row>
    <row r="210" spans="1:6" x14ac:dyDescent="0.25">
      <c r="A210" s="4">
        <f>IFERROR(Merged_data[[#This Row],[BTCUSD_Close]]/Merged_data!D209-1,"")</f>
        <v>1.5541542689196497E-2</v>
      </c>
      <c r="B210" s="4">
        <f>IFERROR(Merged_data[[#This Row],[XAUUSD_Close]]/Merged_data!C209-1, "")</f>
        <v>8.2922952366095704E-3</v>
      </c>
      <c r="C210" s="4">
        <f>IFERROR(Merged_data[[#This Row],[AAPL_Close]]/Merged_data!B209-1,"")</f>
        <v>9.4646944884662076E-3</v>
      </c>
      <c r="D210" s="4">
        <f t="shared" si="3"/>
        <v>1.0818789247942639E-2</v>
      </c>
      <c r="E210" s="4">
        <v>1.1700392282499817E-2</v>
      </c>
      <c r="F210">
        <v>208</v>
      </c>
    </row>
    <row r="211" spans="1:6" x14ac:dyDescent="0.25">
      <c r="A211" s="4">
        <f>IFERROR(Merged_data[[#This Row],[BTCUSD_Close]]/Merged_data!D210-1,"")</f>
        <v>-5.1968066519125777E-4</v>
      </c>
      <c r="B211" s="4">
        <f>IFERROR(Merged_data[[#This Row],[XAUUSD_Close]]/Merged_data!C210-1, "")</f>
        <v>1.1167801372253816E-3</v>
      </c>
      <c r="C211" s="4">
        <f>IFERROR(Merged_data[[#This Row],[AAPL_Close]]/Merged_data!B210-1,"")</f>
        <v>5.1458723998081268E-3</v>
      </c>
      <c r="D211" s="4">
        <f t="shared" si="3"/>
        <v>1.8345695752752132E-3</v>
      </c>
      <c r="E211" s="4">
        <v>1.181568507674069E-2</v>
      </c>
      <c r="F211">
        <v>209</v>
      </c>
    </row>
    <row r="212" spans="1:6" x14ac:dyDescent="0.25">
      <c r="A212" s="4">
        <f>IFERROR(Merged_data[[#This Row],[BTCUSD_Close]]/Merged_data!D211-1,"")</f>
        <v>4.464405776833491E-3</v>
      </c>
      <c r="B212" s="4">
        <f>IFERROR(Merged_data[[#This Row],[XAUUSD_Close]]/Merged_data!C211-1, "")</f>
        <v>5.6335955378625791E-3</v>
      </c>
      <c r="C212" s="4">
        <f>IFERROR(Merged_data[[#This Row],[AAPL_Close]]/Merged_data!B211-1,"")</f>
        <v>8.9808668488871035E-3</v>
      </c>
      <c r="D212" s="4">
        <f t="shared" si="3"/>
        <v>6.2870200028612103E-3</v>
      </c>
      <c r="E212" s="4">
        <v>1.2183067189430519E-2</v>
      </c>
      <c r="F212">
        <v>210</v>
      </c>
    </row>
    <row r="213" spans="1:6" x14ac:dyDescent="0.25">
      <c r="A213" s="4">
        <f>IFERROR(Merged_data[[#This Row],[BTCUSD_Close]]/Merged_data!D212-1,"")</f>
        <v>-3.4351656001499364E-2</v>
      </c>
      <c r="B213" s="4">
        <f>IFERROR(Merged_data[[#This Row],[XAUUSD_Close]]/Merged_data!C212-1, "")</f>
        <v>1.0460645990256534E-2</v>
      </c>
      <c r="C213" s="4">
        <f>IFERROR(Merged_data[[#This Row],[AAPL_Close]]/Merged_data!B212-1,"")</f>
        <v>-1.8059855521156409E-3</v>
      </c>
      <c r="D213" s="4">
        <f t="shared" si="3"/>
        <v>-6.6630340699818883E-3</v>
      </c>
      <c r="E213" s="4">
        <v>1.2314121573763414E-2</v>
      </c>
      <c r="F213">
        <v>211</v>
      </c>
    </row>
    <row r="214" spans="1:6" x14ac:dyDescent="0.25">
      <c r="A214" s="4">
        <f>IFERROR(Merged_data[[#This Row],[BTCUSD_Close]]/Merged_data!D213-1,"")</f>
        <v>2.7726945045194906E-2</v>
      </c>
      <c r="B214" s="4">
        <f>IFERROR(Merged_data[[#This Row],[XAUUSD_Close]]/Merged_data!C213-1, "")</f>
        <v>2.3395624146415939E-2</v>
      </c>
      <c r="C214" s="4">
        <f>IFERROR(Merged_data[[#This Row],[AAPL_Close]]/Merged_data!B213-1,"")</f>
        <v>-1.0424743689153027E-2</v>
      </c>
      <c r="D214" s="4">
        <f t="shared" si="3"/>
        <v>1.454891006537894E-2</v>
      </c>
      <c r="E214" s="4">
        <v>1.2357165208302167E-2</v>
      </c>
      <c r="F214">
        <v>212</v>
      </c>
    </row>
    <row r="215" spans="1:6" x14ac:dyDescent="0.25">
      <c r="A215" s="4">
        <f>IFERROR(Merged_data[[#This Row],[BTCUSD_Close]]/Merged_data!D214-1,"")</f>
        <v>7.518120829511421E-3</v>
      </c>
      <c r="B215" s="4">
        <f>IFERROR(Merged_data[[#This Row],[XAUUSD_Close]]/Merged_data!C214-1, "")</f>
        <v>7.4947815319299504E-3</v>
      </c>
      <c r="C215" s="4">
        <f>IFERROR(Merged_data[[#This Row],[AAPL_Close]]/Merged_data!B214-1,"")</f>
        <v>3.8089848511231095E-2</v>
      </c>
      <c r="D215" s="4">
        <f t="shared" si="3"/>
        <v>1.6680303414994734E-2</v>
      </c>
      <c r="E215" s="4">
        <v>1.2433375519209467E-2</v>
      </c>
      <c r="F215">
        <v>213</v>
      </c>
    </row>
    <row r="216" spans="1:6" x14ac:dyDescent="0.25">
      <c r="A216" s="4">
        <f>IFERROR(Merged_data[[#This Row],[BTCUSD_Close]]/Merged_data!D215-1,"")</f>
        <v>-1.3495903029437484E-2</v>
      </c>
      <c r="B216" s="4">
        <f>IFERROR(Merged_data[[#This Row],[XAUUSD_Close]]/Merged_data!C215-1, "")</f>
        <v>-3.8346951417362884E-3</v>
      </c>
      <c r="C216" s="4">
        <f>IFERROR(Merged_data[[#This Row],[AAPL_Close]]/Merged_data!B215-1,"")</f>
        <v>5.4933534616514734E-3</v>
      </c>
      <c r="D216" s="4">
        <f t="shared" si="3"/>
        <v>-3.9346429270303183E-3</v>
      </c>
      <c r="E216" s="4">
        <v>1.2557448998968556E-2</v>
      </c>
      <c r="F216">
        <v>214</v>
      </c>
    </row>
    <row r="217" spans="1:6" x14ac:dyDescent="0.25">
      <c r="A217" s="4">
        <f>IFERROR(Merged_data[[#This Row],[BTCUSD_Close]]/Merged_data!D216-1,"")</f>
        <v>1.0504695897649352E-2</v>
      </c>
      <c r="B217" s="4">
        <f>IFERROR(Merged_data[[#This Row],[XAUUSD_Close]]/Merged_data!C216-1, "")</f>
        <v>1.3742419179036292E-2</v>
      </c>
      <c r="C217" s="4">
        <f>IFERROR(Merged_data[[#This Row],[AAPL_Close]]/Merged_data!B216-1,"")</f>
        <v>-3.7534406539330156E-4</v>
      </c>
      <c r="D217" s="4">
        <f t="shared" si="3"/>
        <v>8.5357732212913325E-3</v>
      </c>
      <c r="E217" s="4">
        <v>1.2853623323894503E-2</v>
      </c>
      <c r="F217">
        <v>215</v>
      </c>
    </row>
    <row r="218" spans="1:6" x14ac:dyDescent="0.25">
      <c r="A218" s="4">
        <f>IFERROR(Merged_data[[#This Row],[BTCUSD_Close]]/Merged_data!D217-1,"")</f>
        <v>5.9543529453900401E-3</v>
      </c>
      <c r="B218" s="4">
        <f>IFERROR(Merged_data[[#This Row],[XAUUSD_Close]]/Merged_data!C217-1, "")</f>
        <v>1.1498921324121669E-2</v>
      </c>
      <c r="C218" s="4">
        <f>IFERROR(Merged_data[[#This Row],[AAPL_Close]]/Merged_data!B217-1,"")</f>
        <v>-7.5514205849221971E-3</v>
      </c>
      <c r="D218" s="4">
        <f t="shared" si="3"/>
        <v>4.1204482377890216E-3</v>
      </c>
      <c r="E218" s="4">
        <v>1.2928702997661809E-2</v>
      </c>
      <c r="F218">
        <v>216</v>
      </c>
    </row>
    <row r="219" spans="1:6" x14ac:dyDescent="0.25">
      <c r="A219" s="4">
        <f>IFERROR(Merged_data[[#This Row],[BTCUSD_Close]]/Merged_data!D218-1,"")</f>
        <v>-9.1323388044290965E-3</v>
      </c>
      <c r="B219" s="4">
        <f>IFERROR(Merged_data[[#This Row],[XAUUSD_Close]]/Merged_data!C218-1, "")</f>
        <v>-2.7530101594600564E-3</v>
      </c>
      <c r="C219" s="4">
        <f>IFERROR(Merged_data[[#This Row],[AAPL_Close]]/Merged_data!B218-1,"")</f>
        <v>-1.4839414831007258E-2</v>
      </c>
      <c r="D219" s="4">
        <f t="shared" si="3"/>
        <v>-8.2927301544149287E-3</v>
      </c>
      <c r="E219" s="4">
        <v>1.3098638964784358E-2</v>
      </c>
      <c r="F219">
        <v>217</v>
      </c>
    </row>
    <row r="220" spans="1:6" x14ac:dyDescent="0.25">
      <c r="A220" s="4">
        <f>IFERROR(Merged_data[[#This Row],[BTCUSD_Close]]/Merged_data!D219-1,"")</f>
        <v>2.2969404071073063E-2</v>
      </c>
      <c r="B220" s="4">
        <f>IFERROR(Merged_data[[#This Row],[XAUUSD_Close]]/Merged_data!C219-1, "")</f>
        <v>4.0526639474243176E-3</v>
      </c>
      <c r="C220" s="4">
        <f>IFERROR(Merged_data[[#This Row],[AAPL_Close]]/Merged_data!B219-1,"")</f>
        <v>-3.2259441007040812E-2</v>
      </c>
      <c r="D220" s="4">
        <f t="shared" si="3"/>
        <v>-1.1659455018205988E-3</v>
      </c>
      <c r="E220" s="4">
        <v>1.3108207725016141E-2</v>
      </c>
      <c r="F220">
        <v>218</v>
      </c>
    </row>
    <row r="221" spans="1:6" x14ac:dyDescent="0.25">
      <c r="A221" s="4">
        <f>IFERROR(Merged_data[[#This Row],[BTCUSD_Close]]/Merged_data!D220-1,"")</f>
        <v>5.7956251811133175E-3</v>
      </c>
      <c r="B221" s="4">
        <f>IFERROR(Merged_data[[#This Row],[XAUUSD_Close]]/Merged_data!C220-1, "")</f>
        <v>-1.8320627460890471E-3</v>
      </c>
      <c r="C221" s="4">
        <f>IFERROR(Merged_data[[#This Row],[AAPL_Close]]/Merged_data!B220-1,"")</f>
        <v>1.4286344195070466E-2</v>
      </c>
      <c r="D221" s="4">
        <f t="shared" si="3"/>
        <v>5.2917657144195161E-3</v>
      </c>
      <c r="E221" s="4">
        <v>1.3398038182927619E-2</v>
      </c>
      <c r="F221">
        <v>219</v>
      </c>
    </row>
    <row r="222" spans="1:6" x14ac:dyDescent="0.25">
      <c r="A222" s="4">
        <f>IFERROR(Merged_data[[#This Row],[BTCUSD_Close]]/Merged_data!D221-1,"")</f>
        <v>1.8098638891556496E-2</v>
      </c>
      <c r="B222" s="4">
        <f>IFERROR(Merged_data[[#This Row],[XAUUSD_Close]]/Merged_data!C221-1, "")</f>
        <v>2.7930385920884593E-3</v>
      </c>
      <c r="C222" s="4">
        <f>IFERROR(Merged_data[[#This Row],[AAPL_Close]]/Merged_data!B221-1,"")</f>
        <v>1.7562926574794524E-2</v>
      </c>
      <c r="D222" s="4">
        <f t="shared" si="3"/>
        <v>1.181568507674069E-2</v>
      </c>
      <c r="E222" s="4">
        <v>1.3515002555525001E-2</v>
      </c>
      <c r="F222">
        <v>220</v>
      </c>
    </row>
    <row r="223" spans="1:6" x14ac:dyDescent="0.25">
      <c r="A223" s="4">
        <f>IFERROR(Merged_data[[#This Row],[BTCUSD_Close]]/Merged_data!D222-1,"")</f>
        <v>-9.0042191198161925E-3</v>
      </c>
      <c r="B223" s="4">
        <f>IFERROR(Merged_data[[#This Row],[XAUUSD_Close]]/Merged_data!C222-1, "")</f>
        <v>9.6208068470728936E-3</v>
      </c>
      <c r="C223" s="4">
        <f>IFERROR(Merged_data[[#This Row],[AAPL_Close]]/Merged_data!B222-1,"")</f>
        <v>1.1235955056179803E-2</v>
      </c>
      <c r="D223" s="4">
        <f t="shared" si="3"/>
        <v>4.5178435197382408E-3</v>
      </c>
      <c r="E223" s="4">
        <v>1.3656574445056458E-2</v>
      </c>
      <c r="F223">
        <v>221</v>
      </c>
    </row>
    <row r="224" spans="1:6" x14ac:dyDescent="0.25">
      <c r="A224" s="4">
        <f>IFERROR(Merged_data[[#This Row],[BTCUSD_Close]]/Merged_data!D223-1,"")</f>
        <v>1.1119572177705539E-2</v>
      </c>
      <c r="B224" s="4">
        <f>IFERROR(Merged_data[[#This Row],[XAUUSD_Close]]/Merged_data!C223-1, "")</f>
        <v>2.8701540669349157E-3</v>
      </c>
      <c r="C224" s="4">
        <f>IFERROR(Merged_data[[#This Row],[AAPL_Close]]/Merged_data!B223-1,"")</f>
        <v>6.1258977608789067E-3</v>
      </c>
      <c r="D224" s="4">
        <f t="shared" si="3"/>
        <v>6.3217026083493E-3</v>
      </c>
      <c r="E224" s="4">
        <v>1.4038572442416797E-2</v>
      </c>
      <c r="F224">
        <v>222</v>
      </c>
    </row>
    <row r="225" spans="1:6" x14ac:dyDescent="0.25">
      <c r="A225" s="4">
        <f>IFERROR(Merged_data[[#This Row],[BTCUSD_Close]]/Merged_data!D224-1,"")</f>
        <v>-6.4272082295651067E-3</v>
      </c>
      <c r="B225" s="4">
        <f>IFERROR(Merged_data[[#This Row],[XAUUSD_Close]]/Merged_data!C224-1, "")</f>
        <v>-8.1725186019314666E-3</v>
      </c>
      <c r="C225" s="4">
        <f>IFERROR(Merged_data[[#This Row],[AAPL_Close]]/Merged_data!B224-1,"")</f>
        <v>3.5271887465881946E-3</v>
      </c>
      <c r="D225" s="4">
        <f t="shared" si="3"/>
        <v>-4.1390132856656599E-3</v>
      </c>
      <c r="E225" s="4">
        <v>1.4197311932686727E-2</v>
      </c>
      <c r="F225">
        <v>223</v>
      </c>
    </row>
    <row r="226" spans="1:6" x14ac:dyDescent="0.25">
      <c r="A226" s="4">
        <f>IFERROR(Merged_data[[#This Row],[BTCUSD_Close]]/Merged_data!D225-1,"")</f>
        <v>1.0861700661521478E-2</v>
      </c>
      <c r="B226" s="4">
        <f>IFERROR(Merged_data[[#This Row],[XAUUSD_Close]]/Merged_data!C225-1, "")</f>
        <v>-4.1465713934393245E-3</v>
      </c>
      <c r="C226" s="4">
        <f>IFERROR(Merged_data[[#This Row],[AAPL_Close]]/Merged_data!B225-1,"")</f>
        <v>-4.6445457968953274E-3</v>
      </c>
      <c r="D226" s="4">
        <f t="shared" si="3"/>
        <v>2.0651790201211564E-4</v>
      </c>
      <c r="E226" s="4">
        <v>1.4437820628089893E-2</v>
      </c>
      <c r="F226">
        <v>224</v>
      </c>
    </row>
    <row r="227" spans="1:6" x14ac:dyDescent="0.25">
      <c r="A227" s="4">
        <f>IFERROR(Merged_data[[#This Row],[BTCUSD_Close]]/Merged_data!D226-1,"")</f>
        <v>-1.8294605349489124E-2</v>
      </c>
      <c r="B227" s="4">
        <f>IFERROR(Merged_data[[#This Row],[XAUUSD_Close]]/Merged_data!C226-1, "")</f>
        <v>1.0967286097449014E-2</v>
      </c>
      <c r="C227" s="4">
        <f>IFERROR(Merged_data[[#This Row],[AAPL_Close]]/Merged_data!B226-1,"")</f>
        <v>3.2032957793845629E-2</v>
      </c>
      <c r="D227" s="4">
        <f t="shared" si="3"/>
        <v>8.5084201722865575E-3</v>
      </c>
      <c r="E227" s="4">
        <v>1.454891006537894E-2</v>
      </c>
      <c r="F227">
        <v>225</v>
      </c>
    </row>
    <row r="228" spans="1:6" x14ac:dyDescent="0.25">
      <c r="A228" s="4">
        <f>IFERROR(Merged_data[[#This Row],[BTCUSD_Close]]/Merged_data!D227-1,"")</f>
        <v>-1.8757052339206659E-2</v>
      </c>
      <c r="B228" s="4">
        <f>IFERROR(Merged_data[[#This Row],[XAUUSD_Close]]/Merged_data!C227-1, "")</f>
        <v>1.6842428099754558E-2</v>
      </c>
      <c r="C228" s="4">
        <f>IFERROR(Merged_data[[#This Row],[AAPL_Close]]/Merged_data!B227-1,"")</f>
        <v>4.3095723014256571E-2</v>
      </c>
      <c r="D228" s="4">
        <f t="shared" si="3"/>
        <v>1.4038572442416797E-2</v>
      </c>
      <c r="E228" s="4">
        <v>1.4559998240943728E-2</v>
      </c>
      <c r="F228">
        <v>226</v>
      </c>
    </row>
    <row r="229" spans="1:6" x14ac:dyDescent="0.25">
      <c r="A229" s="4">
        <f>IFERROR(Merged_data[[#This Row],[BTCUSD_Close]]/Merged_data!D228-1,"")</f>
        <v>-7.3596405098673712E-3</v>
      </c>
      <c r="B229" s="4">
        <f>IFERROR(Merged_data[[#This Row],[XAUUSD_Close]]/Merged_data!C228-1, "")</f>
        <v>4.8525290270919896E-3</v>
      </c>
      <c r="C229" s="4">
        <f>IFERROR(Merged_data[[#This Row],[AAPL_Close]]/Merged_data!B228-1,"")</f>
        <v>-6.443298969072031E-3</v>
      </c>
      <c r="D229" s="4">
        <f t="shared" si="3"/>
        <v>-2.1998702328450245E-3</v>
      </c>
      <c r="E229" s="4">
        <v>1.4573623830318416E-2</v>
      </c>
      <c r="F229">
        <v>227</v>
      </c>
    </row>
    <row r="230" spans="1:6" x14ac:dyDescent="0.25">
      <c r="A230" s="4">
        <f>IFERROR(Merged_data[[#This Row],[BTCUSD_Close]]/Merged_data!D229-1,"")</f>
        <v>1.0604453870625585E-2</v>
      </c>
      <c r="B230" s="4">
        <f>IFERROR(Merged_data[[#This Row],[XAUUSD_Close]]/Merged_data!C229-1, "")</f>
        <v>-7.582317753434431E-3</v>
      </c>
      <c r="C230" s="4">
        <f>IFERROR(Merged_data[[#This Row],[AAPL_Close]]/Merged_data!B229-1,"")</f>
        <v>-8.3323507448020973E-3</v>
      </c>
      <c r="D230" s="4">
        <f t="shared" si="3"/>
        <v>-2.351296163626726E-3</v>
      </c>
      <c r="E230" s="4">
        <v>1.5033818118579245E-2</v>
      </c>
      <c r="F230">
        <v>228</v>
      </c>
    </row>
    <row r="231" spans="1:6" x14ac:dyDescent="0.25">
      <c r="A231" s="4">
        <f>IFERROR(Merged_data[[#This Row],[BTCUSD_Close]]/Merged_data!D230-1,"")</f>
        <v>-3.4742123502076616E-2</v>
      </c>
      <c r="B231" s="4">
        <f>IFERROR(Merged_data[[#This Row],[XAUUSD_Close]]/Merged_data!C230-1, "")</f>
        <v>3.5437691625168632E-3</v>
      </c>
      <c r="C231" s="4">
        <f>IFERROR(Merged_data[[#This Row],[AAPL_Close]]/Merged_data!B230-1,"")</f>
        <v>1.807300542982837E-2</v>
      </c>
      <c r="D231" s="4">
        <f t="shared" si="3"/>
        <v>-3.5832277566677281E-3</v>
      </c>
      <c r="E231" s="4">
        <v>1.5415126295422587E-2</v>
      </c>
      <c r="F231">
        <v>229</v>
      </c>
    </row>
    <row r="232" spans="1:6" x14ac:dyDescent="0.25">
      <c r="A232" s="4">
        <f>IFERROR(Merged_data[[#This Row],[BTCUSD_Close]]/Merged_data!D231-1,"")</f>
        <v>-2.2289822503585022E-3</v>
      </c>
      <c r="B232" s="4">
        <f>IFERROR(Merged_data[[#This Row],[XAUUSD_Close]]/Merged_data!C231-1, "")</f>
        <v>4.6247707951325712E-3</v>
      </c>
      <c r="C232" s="4">
        <f>IFERROR(Merged_data[[#This Row],[AAPL_Close]]/Merged_data!B231-1,"")</f>
        <v>-5.4891579398138601E-3</v>
      </c>
      <c r="D232" s="4">
        <f t="shared" si="3"/>
        <v>-4.6553373899868014E-4</v>
      </c>
      <c r="E232" s="4">
        <v>1.5477244395468447E-2</v>
      </c>
      <c r="F232">
        <v>230</v>
      </c>
    </row>
    <row r="233" spans="1:6" x14ac:dyDescent="0.25">
      <c r="A233" s="4">
        <f>IFERROR(Merged_data[[#This Row],[BTCUSD_Close]]/Merged_data!D232-1,"")</f>
        <v>4.6189905056627234E-2</v>
      </c>
      <c r="B233" s="4">
        <f>IFERROR(Merged_data[[#This Row],[XAUUSD_Close]]/Merged_data!C232-1, "")</f>
        <v>1.7719684127947E-2</v>
      </c>
      <c r="C233" s="4">
        <f>IFERROR(Merged_data[[#This Row],[AAPL_Close]]/Merged_data!B232-1,"")</f>
        <v>-4.0319423784546116E-3</v>
      </c>
      <c r="D233" s="4">
        <f t="shared" si="3"/>
        <v>1.9735262454630587E-2</v>
      </c>
      <c r="E233" s="4">
        <v>1.5520207950343335E-2</v>
      </c>
      <c r="F233">
        <v>231</v>
      </c>
    </row>
    <row r="234" spans="1:6" x14ac:dyDescent="0.25">
      <c r="A234" s="4">
        <f>IFERROR(Merged_data[[#This Row],[BTCUSD_Close]]/Merged_data!D233-1,"")</f>
        <v>-3.1504883256905369E-4</v>
      </c>
      <c r="B234" s="4">
        <f>IFERROR(Merged_data[[#This Row],[XAUUSD_Close]]/Merged_data!C233-1, "")</f>
        <v>6.5893474824310072E-3</v>
      </c>
      <c r="C234" s="4">
        <f>IFERROR(Merged_data[[#This Row],[AAPL_Close]]/Merged_data!B233-1,"")</f>
        <v>7.8607082498138858E-4</v>
      </c>
      <c r="D234" s="4">
        <f t="shared" si="3"/>
        <v>2.7770455906961037E-3</v>
      </c>
      <c r="E234" s="4">
        <v>1.5676079612681047E-2</v>
      </c>
      <c r="F234">
        <v>232</v>
      </c>
    </row>
    <row r="235" spans="1:6" x14ac:dyDescent="0.25">
      <c r="A235" s="4">
        <f>IFERROR(Merged_data[[#This Row],[BTCUSD_Close]]/Merged_data!D234-1,"")</f>
        <v>2.9807759647034082E-2</v>
      </c>
      <c r="B235" s="4">
        <f>IFERROR(Merged_data[[#This Row],[XAUUSD_Close]]/Merged_data!C234-1, "")</f>
        <v>1.8205518928557929E-3</v>
      </c>
      <c r="C235" s="4">
        <f>IFERROR(Merged_data[[#This Row],[AAPL_Close]]/Merged_data!B234-1,"")</f>
        <v>3.2203589522050713E-3</v>
      </c>
      <c r="D235" s="4">
        <f t="shared" si="3"/>
        <v>1.0636656336914064E-2</v>
      </c>
      <c r="E235" s="4">
        <v>1.6577829490065876E-2</v>
      </c>
      <c r="F235">
        <v>233</v>
      </c>
    </row>
    <row r="236" spans="1:6" x14ac:dyDescent="0.25">
      <c r="A236" s="4">
        <f>IFERROR(Merged_data[[#This Row],[BTCUSD_Close]]/Merged_data!D235-1,"")</f>
        <v>2.2178396252879651E-2</v>
      </c>
      <c r="B236" s="4">
        <f>IFERROR(Merged_data[[#This Row],[XAUUSD_Close]]/Merged_data!C235-1, "")</f>
        <v>-2.36435667639745E-3</v>
      </c>
      <c r="C236" s="4">
        <f>IFERROR(Merged_data[[#This Row],[AAPL_Close]]/Merged_data!B235-1,"")</f>
        <v>6.5766294773927925E-3</v>
      </c>
      <c r="D236" s="4">
        <f t="shared" si="3"/>
        <v>7.6807650485227526E-3</v>
      </c>
      <c r="E236" s="4">
        <v>1.6680303414994734E-2</v>
      </c>
      <c r="F236">
        <v>234</v>
      </c>
    </row>
    <row r="237" spans="1:6" x14ac:dyDescent="0.25">
      <c r="A237" s="4">
        <f>IFERROR(Merged_data[[#This Row],[BTCUSD_Close]]/Merged_data!D236-1,"")</f>
        <v>2.0233521281373124E-2</v>
      </c>
      <c r="B237" s="4">
        <f>IFERROR(Merged_data[[#This Row],[XAUUSD_Close]]/Merged_data!C236-1, "")</f>
        <v>7.6025416136731305E-3</v>
      </c>
      <c r="C237" s="4">
        <f>IFERROR(Merged_data[[#This Row],[AAPL_Close]]/Merged_data!B236-1,"")</f>
        <v>3.4612841753198786E-3</v>
      </c>
      <c r="D237" s="4">
        <f t="shared" si="3"/>
        <v>1.0149458282477153E-2</v>
      </c>
      <c r="E237" s="4">
        <v>1.668449984407323E-2</v>
      </c>
      <c r="F237">
        <v>235</v>
      </c>
    </row>
    <row r="238" spans="1:6" x14ac:dyDescent="0.25">
      <c r="A238" s="4">
        <f>IFERROR(Merged_data[[#This Row],[BTCUSD_Close]]/Merged_data!D237-1,"")</f>
        <v>2.0329477742726976E-2</v>
      </c>
      <c r="B238" s="4">
        <f>IFERROR(Merged_data[[#This Row],[XAUUSD_Close]]/Merged_data!C237-1, "")</f>
        <v>1.907653904797435E-2</v>
      </c>
      <c r="C238" s="4">
        <f>IFERROR(Merged_data[[#This Row],[AAPL_Close]]/Merged_data!B237-1,"")</f>
        <v>-5.1546391752577136E-3</v>
      </c>
      <c r="D238" s="4">
        <f t="shared" si="3"/>
        <v>1.2183067189430519E-2</v>
      </c>
      <c r="E238" s="4">
        <v>1.671084948478798E-2</v>
      </c>
      <c r="F238">
        <v>236</v>
      </c>
    </row>
    <row r="239" spans="1:6" x14ac:dyDescent="0.25">
      <c r="A239" s="4">
        <f>IFERROR(Merged_data[[#This Row],[BTCUSD_Close]]/Merged_data!D238-1,"")</f>
        <v>-2.4542033825185938E-2</v>
      </c>
      <c r="B239" s="4">
        <f>IFERROR(Merged_data[[#This Row],[XAUUSD_Close]]/Merged_data!C238-1, "")</f>
        <v>6.2600140654611725E-3</v>
      </c>
      <c r="C239" s="4">
        <f>IFERROR(Merged_data[[#This Row],[AAPL_Close]]/Merged_data!B238-1,"")</f>
        <v>-8.1810744477761599E-4</v>
      </c>
      <c r="D239" s="4">
        <f t="shared" si="3"/>
        <v>-5.1040367548045975E-3</v>
      </c>
      <c r="E239" s="4">
        <v>1.7808214723714386E-2</v>
      </c>
      <c r="F239">
        <v>237</v>
      </c>
    </row>
    <row r="240" spans="1:6" x14ac:dyDescent="0.25">
      <c r="A240" s="4">
        <f>IFERROR(Merged_data[[#This Row],[BTCUSD_Close]]/Merged_data!D239-1,"")</f>
        <v>9.9999181005887561E-3</v>
      </c>
      <c r="B240" s="4">
        <f>IFERROR(Merged_data[[#This Row],[XAUUSD_Close]]/Merged_data!C239-1, "")</f>
        <v>1.4094651109390899E-2</v>
      </c>
      <c r="C240" s="4">
        <f>IFERROR(Merged_data[[#This Row],[AAPL_Close]]/Merged_data!B239-1,"")</f>
        <v>6.1603243917653927E-3</v>
      </c>
      <c r="D240" s="4">
        <f t="shared" si="3"/>
        <v>1.0485933191462604E-2</v>
      </c>
      <c r="E240" s="4">
        <v>1.8137641944034243E-2</v>
      </c>
      <c r="F240">
        <v>238</v>
      </c>
    </row>
    <row r="241" spans="1:6" x14ac:dyDescent="0.25">
      <c r="A241" s="4">
        <f>IFERROR(Merged_data[[#This Row],[BTCUSD_Close]]/Merged_data!D240-1,"")</f>
        <v>-1.4498629603801438E-2</v>
      </c>
      <c r="B241" s="4">
        <f>IFERROR(Merged_data[[#This Row],[XAUUSD_Close]]/Merged_data!C240-1, "")</f>
        <v>-1.5825251607890167E-2</v>
      </c>
      <c r="C241" s="4">
        <f>IFERROR(Merged_data[[#This Row],[AAPL_Close]]/Merged_data!B240-1,"")</f>
        <v>-1.5577772611020779E-2</v>
      </c>
      <c r="D241" s="4">
        <f t="shared" si="3"/>
        <v>-1.5353021307602731E-2</v>
      </c>
      <c r="E241" s="4">
        <v>1.8277374836392576E-2</v>
      </c>
      <c r="F241">
        <v>239</v>
      </c>
    </row>
    <row r="242" spans="1:6" x14ac:dyDescent="0.25">
      <c r="A242" s="4">
        <f>IFERROR(Merged_data[[#This Row],[BTCUSD_Close]]/Merged_data!D241-1,"")</f>
        <v>-3.9108397650040372E-2</v>
      </c>
      <c r="B242" s="4">
        <f>IFERROR(Merged_data[[#This Row],[XAUUSD_Close]]/Merged_data!C241-1, "")</f>
        <v>8.4522235017827629E-3</v>
      </c>
      <c r="C242" s="4">
        <f>IFERROR(Merged_data[[#This Row],[AAPL_Close]]/Merged_data!B241-1,"")</f>
        <v>-3.4522122500393548E-2</v>
      </c>
      <c r="D242" s="4">
        <f t="shared" si="3"/>
        <v>-1.8708266644417069E-2</v>
      </c>
      <c r="E242" s="4">
        <v>1.8304935351302731E-2</v>
      </c>
      <c r="F242">
        <v>240</v>
      </c>
    </row>
    <row r="243" spans="1:6" x14ac:dyDescent="0.25">
      <c r="A243" s="4">
        <f>IFERROR(Merged_data[[#This Row],[BTCUSD_Close]]/Merged_data!D242-1,"")</f>
        <v>-8.3660869490755907E-3</v>
      </c>
      <c r="B243" s="4">
        <f>IFERROR(Merged_data[[#This Row],[XAUUSD_Close]]/Merged_data!C242-1, "")</f>
        <v>2.4822504939941314E-2</v>
      </c>
      <c r="C243" s="4">
        <f>IFERROR(Merged_data[[#This Row],[AAPL_Close]]/Merged_data!B242-1,"")</f>
        <v>9.7443633546703268E-3</v>
      </c>
      <c r="D243" s="4">
        <f t="shared" si="3"/>
        <v>1.0342484897654948E-2</v>
      </c>
      <c r="E243" s="4">
        <v>1.855724809931969E-2</v>
      </c>
      <c r="F243">
        <v>241</v>
      </c>
    </row>
    <row r="244" spans="1:6" x14ac:dyDescent="0.25">
      <c r="A244" s="4">
        <f>IFERROR(Merged_data[[#This Row],[BTCUSD_Close]]/Merged_data!D243-1,"")</f>
        <v>-2.2520811025525833E-2</v>
      </c>
      <c r="B244" s="4">
        <f>IFERROR(Merged_data[[#This Row],[XAUUSD_Close]]/Merged_data!C243-1, "")</f>
        <v>7.7246285487673205E-3</v>
      </c>
      <c r="C244" s="4">
        <f>IFERROR(Merged_data[[#This Row],[AAPL_Close]]/Merged_data!B243-1,"")</f>
        <v>4.4415731244451528E-4</v>
      </c>
      <c r="D244" s="4">
        <f t="shared" si="3"/>
        <v>-3.5331446944174665E-3</v>
      </c>
      <c r="E244" s="4">
        <v>1.942033566468384E-2</v>
      </c>
      <c r="F244">
        <v>242</v>
      </c>
    </row>
    <row r="245" spans="1:6" x14ac:dyDescent="0.25">
      <c r="A245" s="4">
        <f>IFERROR(Merged_data[[#This Row],[BTCUSD_Close]]/Merged_data!D244-1,"")</f>
        <v>-2.0407081522315296E-2</v>
      </c>
      <c r="B245" s="4">
        <f>IFERROR(Merged_data[[#This Row],[XAUUSD_Close]]/Merged_data!C244-1, "")</f>
        <v>1.5951308311483947E-2</v>
      </c>
      <c r="C245" s="4">
        <f>IFERROR(Merged_data[[#This Row],[AAPL_Close]]/Merged_data!B244-1,"")</f>
        <v>6.336521774226167E-3</v>
      </c>
      <c r="D245" s="4">
        <f t="shared" si="3"/>
        <v>2.1593554001668406E-3</v>
      </c>
      <c r="E245" s="4">
        <v>1.9423391121845365E-2</v>
      </c>
      <c r="F245">
        <v>243</v>
      </c>
    </row>
    <row r="246" spans="1:6" x14ac:dyDescent="0.25">
      <c r="A246" s="4">
        <f>IFERROR(Merged_data[[#This Row],[BTCUSD_Close]]/Merged_data!D245-1,"")</f>
        <v>-2.1634832169976415E-2</v>
      </c>
      <c r="B246" s="4">
        <f>IFERROR(Merged_data[[#This Row],[XAUUSD_Close]]/Merged_data!C245-1, "")</f>
        <v>2.8523900619051412E-2</v>
      </c>
      <c r="C246" s="4">
        <f>IFERROR(Merged_data[[#This Row],[AAPL_Close]]/Merged_data!B245-1,"")</f>
        <v>-7.5800112296463551E-3</v>
      </c>
      <c r="D246" s="4">
        <f t="shared" si="3"/>
        <v>2.6451072277337349E-3</v>
      </c>
      <c r="E246" s="4">
        <v>1.9735262454630587E-2</v>
      </c>
      <c r="F246">
        <v>244</v>
      </c>
    </row>
    <row r="247" spans="1:6" x14ac:dyDescent="0.25">
      <c r="A247" s="4">
        <f>IFERROR(Merged_data[[#This Row],[BTCUSD_Close]]/Merged_data!D246-1,"")</f>
        <v>-1.8499912431904297E-2</v>
      </c>
      <c r="B247" s="4">
        <f>IFERROR(Merged_data[[#This Row],[XAUUSD_Close]]/Merged_data!C246-1, "")</f>
        <v>-2.3727611319568909E-2</v>
      </c>
      <c r="C247" s="4">
        <f>IFERROR(Merged_data[[#This Row],[AAPL_Close]]/Merged_data!B246-1,"")</f>
        <v>1.9559506971105201E-2</v>
      </c>
      <c r="D247" s="4">
        <f t="shared" si="3"/>
        <v>-9.1731661660672918E-3</v>
      </c>
      <c r="E247" s="4">
        <v>2.4847923980986765E-2</v>
      </c>
      <c r="F247">
        <v>245</v>
      </c>
    </row>
    <row r="248" spans="1:6" x14ac:dyDescent="0.25">
      <c r="A248" s="4">
        <f>IFERROR(Merged_data[[#This Row],[BTCUSD_Close]]/Merged_data!D247-1,"")</f>
        <v>3.8758452291510093E-2</v>
      </c>
      <c r="B248" s="4">
        <f>IFERROR(Merged_data[[#This Row],[XAUUSD_Close]]/Merged_data!C247-1, "")</f>
        <v>3.0928542606176501E-2</v>
      </c>
      <c r="C248" s="4">
        <f>IFERROR(Merged_data[[#This Row],[AAPL_Close]]/Merged_data!B247-1,"")</f>
        <v>3.943874113123802E-2</v>
      </c>
      <c r="D248" s="4">
        <f t="shared" si="3"/>
        <v>3.5830575069295031E-2</v>
      </c>
      <c r="E248" s="4">
        <v>3.1475279411104326E-2</v>
      </c>
      <c r="F248">
        <v>246</v>
      </c>
    </row>
    <row r="249" spans="1:6" x14ac:dyDescent="0.25">
      <c r="A249" s="4">
        <f>IFERROR(Merged_data[[#This Row],[BTCUSD_Close]]/Merged_data!D248-1,"")</f>
        <v>2.9292901895900947E-3</v>
      </c>
      <c r="B249" s="4">
        <f>IFERROR(Merged_data[[#This Row],[XAUUSD_Close]]/Merged_data!C248-1, "")</f>
        <v>-5.30868420388102E-2</v>
      </c>
      <c r="C249" s="4">
        <f>IFERROR(Merged_data[[#This Row],[AAPL_Close]]/Merged_data!B248-1,"")</f>
        <v>2.0210494203782847E-3</v>
      </c>
      <c r="D249" s="4">
        <f t="shared" si="3"/>
        <v>-1.9749634932533566E-2</v>
      </c>
      <c r="E249" s="4">
        <v>3.495687648556562E-2</v>
      </c>
      <c r="F249">
        <v>247</v>
      </c>
    </row>
    <row r="250" spans="1:6" x14ac:dyDescent="0.25">
      <c r="A250" s="4">
        <f>IFERROR(Merged_data[[#This Row],[BTCUSD_Close]]/Merged_data!D249-1,"")</f>
        <v>-3.335406694251386E-2</v>
      </c>
      <c r="B250" s="4">
        <f>IFERROR(Merged_data[[#This Row],[XAUUSD_Close]]/Merged_data!C249-1, "")</f>
        <v>-6.4196740706260469E-3</v>
      </c>
      <c r="C250" s="4">
        <f>IFERROR(Merged_data[[#This Row],[AAPL_Close]]/Merged_data!B249-1,"")</f>
        <v>-1.6440232903299434E-2</v>
      </c>
      <c r="D250" s="4">
        <f t="shared" si="3"/>
        <v>-1.7506159581994408E-2</v>
      </c>
      <c r="E250" s="4">
        <v>3.5830575069295031E-2</v>
      </c>
      <c r="F250">
        <v>248</v>
      </c>
    </row>
    <row r="251" spans="1:6" x14ac:dyDescent="0.25">
      <c r="A251" s="4">
        <f>IFERROR(Merged_data[[#This Row],[BTCUSD_Close]]/Merged_data!D250-1,"")</f>
        <v>2.2008560957185841E-2</v>
      </c>
      <c r="B251" s="4">
        <f>IFERROR(Merged_data[[#This Row],[XAUUSD_Close]]/Merged_data!C250-1, "")</f>
        <v>6.9125548392763303E-3</v>
      </c>
      <c r="C251" s="4">
        <f>IFERROR(Merged_data[[#This Row],[AAPL_Close]]/Merged_data!B250-1,"")</f>
        <v>4.3722189978718795E-3</v>
      </c>
      <c r="D251" s="4">
        <f>SUMPRODUCT(A251:C251,$I$2:$K$2)</f>
        <v>1.0679255922227848E-2</v>
      </c>
      <c r="E251" s="4">
        <v>8.3799714102362532E-2</v>
      </c>
      <c r="F251">
        <v>249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BCD1-654E-40E0-B711-4B5ECCA93F53}">
  <dimension ref="A1:K251"/>
  <sheetViews>
    <sheetView workbookViewId="0">
      <selection activeCell="K4" sqref="K4"/>
    </sheetView>
  </sheetViews>
  <sheetFormatPr defaultRowHeight="15" x14ac:dyDescent="0.25"/>
  <cols>
    <col min="1" max="1" width="10.85546875" bestFit="1" customWidth="1"/>
    <col min="2" max="2" width="11.85546875" bestFit="1" customWidth="1"/>
    <col min="3" max="3" width="12.140625" bestFit="1" customWidth="1"/>
    <col min="4" max="4" width="14.7109375" customWidth="1"/>
    <col min="8" max="8" width="28.42578125" bestFit="1" customWidth="1"/>
    <col min="9" max="9" width="12.28515625" customWidth="1"/>
    <col min="10" max="10" width="11.5703125" customWidth="1"/>
  </cols>
  <sheetData>
    <row r="1" spans="1:11" x14ac:dyDescent="0.25">
      <c r="A1" s="5" t="s">
        <v>66</v>
      </c>
      <c r="B1" s="3" t="s">
        <v>67</v>
      </c>
      <c r="C1" s="3" t="s">
        <v>1</v>
      </c>
      <c r="D1" s="3" t="s">
        <v>7</v>
      </c>
      <c r="H1" s="3" t="s">
        <v>6</v>
      </c>
      <c r="I1" s="7" t="s">
        <v>3</v>
      </c>
      <c r="J1" s="7" t="s">
        <v>4</v>
      </c>
      <c r="K1" s="7" t="s">
        <v>5</v>
      </c>
    </row>
    <row r="2" spans="1:11" x14ac:dyDescent="0.25">
      <c r="H2" s="7" t="s">
        <v>2</v>
      </c>
      <c r="I2" s="2">
        <v>0.3</v>
      </c>
      <c r="J2" s="2">
        <v>0.4</v>
      </c>
      <c r="K2" s="2">
        <v>0.3</v>
      </c>
    </row>
    <row r="3" spans="1:11" x14ac:dyDescent="0.25">
      <c r="A3" s="4">
        <f>IFERROR(Merged_data[[#This Row],[BTCUSD_Close]]/Merged_data!D2-1,"")</f>
        <v>-2.2252673248773225E-2</v>
      </c>
      <c r="B3" s="4">
        <f>IFERROR(Merged_data[[#This Row],[XAUUSD_Close]]/Merged_data!C2-1, "")</f>
        <v>2.3940189730571326E-3</v>
      </c>
      <c r="C3" s="4">
        <f>IFERROR(Merged_data[[#This Row],[AAPL_Close]]/Merged_data!B2-1,"")</f>
        <v>3.6424647054731363E-3</v>
      </c>
      <c r="D3" s="4">
        <f>SUMPRODUCT(A3:C3,$I$2:$K$2)</f>
        <v>-4.6254549737671739E-3</v>
      </c>
      <c r="H3" s="7" t="s">
        <v>16</v>
      </c>
      <c r="I3" s="12">
        <v>300000</v>
      </c>
      <c r="J3" s="12">
        <v>400000</v>
      </c>
      <c r="K3" s="12">
        <v>300000</v>
      </c>
    </row>
    <row r="4" spans="1:11" x14ac:dyDescent="0.25">
      <c r="A4" s="4">
        <f>IFERROR(Merged_data[[#This Row],[BTCUSD_Close]]/Merged_data!D3-1,"")</f>
        <v>4.6813423092126438E-2</v>
      </c>
      <c r="B4" s="4">
        <f>IFERROR(Merged_data[[#This Row],[XAUUSD_Close]]/Merged_data!C3-1, "")</f>
        <v>-1.130341089539133E-4</v>
      </c>
      <c r="C4" s="4">
        <f>IFERROR(Merged_data[[#This Row],[AAPL_Close]]/Merged_data!B3-1,"")</f>
        <v>8.596720686698367E-3</v>
      </c>
      <c r="D4" s="4">
        <f t="shared" ref="D4:D67" si="0">SUMPRODUCT(A4:C4,$I$2:$K$2)</f>
        <v>1.6577829490065876E-2</v>
      </c>
    </row>
    <row r="5" spans="1:11" x14ac:dyDescent="0.25">
      <c r="A5" s="4">
        <f>IFERROR(Merged_data[[#This Row],[BTCUSD_Close]]/Merged_data!D4-1,"")</f>
        <v>3.8675265938045822E-2</v>
      </c>
      <c r="B5" s="4">
        <f>IFERROR(Merged_data[[#This Row],[XAUUSD_Close]]/Merged_data!C4-1, "")</f>
        <v>1.1835279745462168E-2</v>
      </c>
      <c r="C5" s="4">
        <f>IFERROR(Merged_data[[#This Row],[AAPL_Close]]/Merged_data!B4-1,"")</f>
        <v>1.1593605482487224E-3</v>
      </c>
      <c r="D5" s="4">
        <f t="shared" si="0"/>
        <v>1.668449984407323E-2</v>
      </c>
      <c r="H5" s="7" t="s">
        <v>17</v>
      </c>
      <c r="I5" s="16">
        <f>AVERAGE(D3:D251)</f>
        <v>1.5771348891982753E-3</v>
      </c>
      <c r="J5" s="4"/>
    </row>
    <row r="6" spans="1:11" x14ac:dyDescent="0.25">
      <c r="A6" s="4">
        <f>IFERROR(Merged_data[[#This Row],[BTCUSD_Close]]/Merged_data!D5-1,"")</f>
        <v>-3.3353163455288604E-3</v>
      </c>
      <c r="B6" s="4">
        <f>IFERROR(Merged_data[[#This Row],[XAUUSD_Close]]/Merged_data!C5-1, "")</f>
        <v>4.6527887900587039E-3</v>
      </c>
      <c r="C6" s="4">
        <f>IFERROR(Merged_data[[#This Row],[AAPL_Close]]/Merged_data!B5-1,"")</f>
        <v>-1.5277259528986953E-2</v>
      </c>
      <c r="D6" s="4">
        <f t="shared" si="0"/>
        <v>-3.7226572463312617E-3</v>
      </c>
    </row>
    <row r="7" spans="1:11" x14ac:dyDescent="0.25">
      <c r="A7" s="4">
        <f>IFERROR(Merged_data[[#This Row],[BTCUSD_Close]]/Merged_data!D6-1,"")</f>
        <v>-2.7671310100505053E-2</v>
      </c>
      <c r="B7" s="4">
        <f>IFERROR(Merged_data[[#This Row],[XAUUSD_Close]]/Merged_data!C6-1, "")</f>
        <v>-1.4846157433482055E-2</v>
      </c>
      <c r="C7" s="4">
        <f>IFERROR(Merged_data[[#This Row],[AAPL_Close]]/Merged_data!B6-1,"")</f>
        <v>-1.8210326879940841E-2</v>
      </c>
      <c r="D7" s="4">
        <f t="shared" si="0"/>
        <v>-1.970295406752659E-2</v>
      </c>
      <c r="H7" s="3" t="s">
        <v>18</v>
      </c>
      <c r="I7" s="7" t="s">
        <v>3</v>
      </c>
      <c r="J7" s="7" t="s">
        <v>4</v>
      </c>
      <c r="K7" s="7" t="s">
        <v>5</v>
      </c>
    </row>
    <row r="8" spans="1:11" x14ac:dyDescent="0.25">
      <c r="A8" s="4">
        <f>IFERROR(Merged_data[[#This Row],[BTCUSD_Close]]/Merged_data!D7-1,"")</f>
        <v>-1.6758109415832001E-2</v>
      </c>
      <c r="B8" s="4">
        <f>IFERROR(Merged_data[[#This Row],[XAUUSD_Close]]/Merged_data!C7-1, "")</f>
        <v>-3.5285057015044252E-3</v>
      </c>
      <c r="C8" s="4">
        <f>IFERROR(Merged_data[[#This Row],[AAPL_Close]]/Merged_data!B7-1,"")</f>
        <v>-1.3282227368308974E-2</v>
      </c>
      <c r="D8" s="4">
        <f t="shared" si="0"/>
        <v>-1.0423503315844063E-2</v>
      </c>
      <c r="H8" s="7" t="s">
        <v>3</v>
      </c>
      <c r="I8">
        <f>VARP(Parametric!$A$3:$A$251)</f>
        <v>7.3196878974591639E-4</v>
      </c>
      <c r="J8">
        <f>I9</f>
        <v>1.6254597223589407E-5</v>
      </c>
      <c r="K8">
        <f>I10</f>
        <v>1.579405876507246E-4</v>
      </c>
    </row>
    <row r="9" spans="1:11" x14ac:dyDescent="0.25">
      <c r="A9" s="4">
        <f>IFERROR(Merged_data[[#This Row],[BTCUSD_Close]]/Merged_data!D8-1,"")</f>
        <v>-1.8892193673890167E-2</v>
      </c>
      <c r="B9" s="4">
        <f>IFERROR(Merged_data[[#This Row],[XAUUSD_Close]]/Merged_data!C8-1, "")</f>
        <v>6.2122809485920527E-5</v>
      </c>
      <c r="C9" s="4">
        <f>IFERROR(Merged_data[[#This Row],[AAPL_Close]]/Merged_data!B8-1,"")</f>
        <v>-4.0374067080298781E-3</v>
      </c>
      <c r="D9" s="4">
        <f t="shared" si="0"/>
        <v>-6.8540309907816448E-3</v>
      </c>
      <c r="H9" s="7" t="s">
        <v>4</v>
      </c>
      <c r="I9">
        <v>1.6254597223589407E-5</v>
      </c>
      <c r="J9">
        <f>VARP(Parametric!$B$3:$B$251)</f>
        <v>1.4819566011924665E-4</v>
      </c>
      <c r="K9" s="15">
        <f>J10</f>
        <v>3.7105672155699599E-6</v>
      </c>
    </row>
    <row r="10" spans="1:11" ht="15.75" thickBot="1" x14ac:dyDescent="0.3">
      <c r="A10" s="4">
        <f>IFERROR(Merged_data[[#This Row],[BTCUSD_Close]]/Merged_data!D9-1,"")</f>
        <v>2.5051041902971916E-2</v>
      </c>
      <c r="B10" s="4">
        <f>IFERROR(Merged_data[[#This Row],[XAUUSD_Close]]/Merged_data!C9-1, "")</f>
        <v>2.6711148707285748E-3</v>
      </c>
      <c r="C10" s="4">
        <f>IFERROR(Merged_data[[#This Row],[AAPL_Close]]/Merged_data!B9-1,"")</f>
        <v>6.4869403490399602E-3</v>
      </c>
      <c r="D10" s="4">
        <f t="shared" si="0"/>
        <v>1.0529840623894992E-2</v>
      </c>
      <c r="H10" s="7" t="s">
        <v>5</v>
      </c>
      <c r="I10" s="13">
        <v>1.579405876507246E-4</v>
      </c>
      <c r="J10" s="14">
        <v>3.7105672155699599E-6</v>
      </c>
      <c r="K10" s="13">
        <f>VARP(Parametric!$C$3:$C$251)</f>
        <v>4.2304850473803173E-4</v>
      </c>
    </row>
    <row r="11" spans="1:11" x14ac:dyDescent="0.25">
      <c r="A11" s="4">
        <f>IFERROR(Merged_data[[#This Row],[BTCUSD_Close]]/Merged_data!D10-1,"")</f>
        <v>8.7634006840456413E-2</v>
      </c>
      <c r="B11" s="4">
        <f>IFERROR(Merged_data[[#This Row],[XAUUSD_Close]]/Merged_data!C10-1, "")</f>
        <v>-3.0954866900267719E-2</v>
      </c>
      <c r="C11" s="4">
        <f>IFERROR(Merged_data[[#This Row],[AAPL_Close]]/Merged_data!B10-1,"")</f>
        <v>-3.265174314560082E-3</v>
      </c>
      <c r="D11" s="4">
        <f t="shared" si="0"/>
        <v>1.2928702997661809E-2</v>
      </c>
    </row>
    <row r="12" spans="1:11" x14ac:dyDescent="0.25">
      <c r="A12" s="4">
        <f>IFERROR(Merged_data[[#This Row],[BTCUSD_Close]]/Merged_data!D11-1,"")</f>
        <v>2.9609918067334817E-3</v>
      </c>
      <c r="B12" s="4">
        <f>IFERROR(Merged_data[[#This Row],[XAUUSD_Close]]/Merged_data!C11-1, "")</f>
        <v>1.7846565791230562E-2</v>
      </c>
      <c r="C12" s="4">
        <f>IFERROR(Merged_data[[#This Row],[AAPL_Close]]/Merged_data!B11-1,"")</f>
        <v>2.1369655898592077E-2</v>
      </c>
      <c r="D12" s="4">
        <f t="shared" si="0"/>
        <v>1.4437820628089893E-2</v>
      </c>
      <c r="H12" s="7" t="s">
        <v>20</v>
      </c>
      <c r="I12" s="16" cm="1">
        <f t="array" ref="I12">SQRT(MMULT(MMULT($I$2:$K$2,I8:K10),TRANSPOSE($I$2:$K$2)))</f>
        <v>1.2683998082827176E-2</v>
      </c>
    </row>
    <row r="13" spans="1:11" x14ac:dyDescent="0.25">
      <c r="A13" s="4">
        <f>IFERROR(Merged_data[[#This Row],[BTCUSD_Close]]/Merged_data!D12-1,"")</f>
        <v>1.0137244724548911E-2</v>
      </c>
      <c r="B13" s="4">
        <f>IFERROR(Merged_data[[#This Row],[XAUUSD_Close]]/Merged_data!C12-1, "")</f>
        <v>-7.8846928332059196E-3</v>
      </c>
      <c r="C13" s="4">
        <f>IFERROR(Merged_data[[#This Row],[AAPL_Close]]/Merged_data!B12-1,"")</f>
        <v>-1.1851264428582864E-3</v>
      </c>
      <c r="D13" s="4">
        <f t="shared" si="0"/>
        <v>-4.6824164877518087E-4</v>
      </c>
    </row>
    <row r="14" spans="1:11" x14ac:dyDescent="0.25">
      <c r="A14" s="4">
        <f>IFERROR(Merged_data[[#This Row],[BTCUSD_Close]]/Merged_data!D13-1,"")</f>
        <v>0.14953500170192902</v>
      </c>
      <c r="B14" s="4">
        <f>IFERROR(Merged_data[[#This Row],[XAUUSD_Close]]/Merged_data!C13-1, "")</f>
        <v>-2.4441655463155021E-2</v>
      </c>
      <c r="C14" s="4">
        <f>IFERROR(Merged_data[[#This Row],[AAPL_Close]]/Merged_data!B13-1,"")</f>
        <v>-1.2028529714041225E-2</v>
      </c>
      <c r="D14" s="4">
        <f t="shared" si="0"/>
        <v>3.1475279411104326E-2</v>
      </c>
      <c r="H14" s="3" t="s">
        <v>21</v>
      </c>
      <c r="I14" s="7"/>
      <c r="J14" s="7"/>
      <c r="K14" s="7"/>
    </row>
    <row r="15" spans="1:11" x14ac:dyDescent="0.25">
      <c r="A15" s="4">
        <f>IFERROR(Merged_data[[#This Row],[BTCUSD_Close]]/Merged_data!D14-1,"")</f>
        <v>5.6112915613935055E-3</v>
      </c>
      <c r="B15" s="4">
        <f>IFERROR(Merged_data[[#This Row],[XAUUSD_Close]]/Merged_data!C14-1, "")</f>
        <v>-8.1178374829168343E-3</v>
      </c>
      <c r="C15" s="4">
        <f>IFERROR(Merged_data[[#This Row],[AAPL_Close]]/Merged_data!B14-1,"")</f>
        <v>0</v>
      </c>
      <c r="D15" s="4">
        <f t="shared" si="0"/>
        <v>-1.5637475247486821E-3</v>
      </c>
      <c r="H15" s="7" t="s">
        <v>17</v>
      </c>
      <c r="I15" s="4">
        <f>I5</f>
        <v>1.5771348891982753E-3</v>
      </c>
      <c r="J15" s="4">
        <f>I5</f>
        <v>1.5771348891982753E-3</v>
      </c>
    </row>
    <row r="16" spans="1:11" x14ac:dyDescent="0.25">
      <c r="A16" s="4">
        <f>IFERROR(Merged_data[[#This Row],[BTCUSD_Close]]/Merged_data!D15-1,"")</f>
        <v>1.2937973765291044E-2</v>
      </c>
      <c r="B16" s="4">
        <f>IFERROR(Merged_data[[#This Row],[XAUUSD_Close]]/Merged_data!C15-1, "")</f>
        <v>-9.7526243373007304E-3</v>
      </c>
      <c r="C16" s="4">
        <f>IFERROR(Merged_data[[#This Row],[AAPL_Close]]/Merged_data!B15-1,"")</f>
        <v>3.9690335023929713E-3</v>
      </c>
      <c r="D16" s="4">
        <f t="shared" si="0"/>
        <v>1.171052445384912E-3</v>
      </c>
      <c r="H16" s="7" t="s">
        <v>19</v>
      </c>
      <c r="I16" s="4">
        <f>I12</f>
        <v>1.2683998082827176E-2</v>
      </c>
      <c r="J16" s="4">
        <f>I12</f>
        <v>1.2683998082827176E-2</v>
      </c>
    </row>
    <row r="17" spans="1:11" x14ac:dyDescent="0.25">
      <c r="A17" s="4">
        <f>IFERROR(Merged_data[[#This Row],[BTCUSD_Close]]/Merged_data!D16-1,"")</f>
        <v>-2.3017182138239001E-2</v>
      </c>
      <c r="B17" s="4">
        <f>IFERROR(Merged_data[[#This Row],[XAUUSD_Close]]/Merged_data!C16-1, "")</f>
        <v>-3.0645935478353925E-3</v>
      </c>
      <c r="C17" s="4">
        <f>IFERROR(Merged_data[[#This Row],[AAPL_Close]]/Merged_data!B16-1,"")</f>
        <v>1.3767771141933505E-2</v>
      </c>
      <c r="D17" s="4">
        <f t="shared" si="0"/>
        <v>-4.000660718025806E-3</v>
      </c>
      <c r="H17" s="7" t="s">
        <v>76</v>
      </c>
      <c r="I17" s="2">
        <v>0.99</v>
      </c>
      <c r="J17" s="2">
        <v>0.95</v>
      </c>
    </row>
    <row r="18" spans="1:11" x14ac:dyDescent="0.25">
      <c r="A18" s="4">
        <f>IFERROR(Merged_data[[#This Row],[BTCUSD_Close]]/Merged_data!D17-1,"")</f>
        <v>4.06390898157174E-2</v>
      </c>
      <c r="B18" s="4">
        <f>IFERROR(Merged_data[[#This Row],[XAUUSD_Close]]/Merged_data!C17-1, "")</f>
        <v>-1.0604081791778519E-3</v>
      </c>
      <c r="C18" s="4">
        <f>IFERROR(Merged_data[[#This Row],[AAPL_Close]]/Merged_data!B17-1,"")</f>
        <v>-1.4107181239554567E-2</v>
      </c>
      <c r="D18" s="4">
        <f t="shared" si="0"/>
        <v>7.5354093011777085E-3</v>
      </c>
      <c r="H18" s="7" t="s">
        <v>11</v>
      </c>
      <c r="I18" s="2">
        <v>0.01</v>
      </c>
      <c r="J18" s="2">
        <v>0.05</v>
      </c>
    </row>
    <row r="19" spans="1:11" x14ac:dyDescent="0.25">
      <c r="A19" s="4">
        <f>IFERROR(Merged_data[[#This Row],[BTCUSD_Close]]/Merged_data!D18-1,"")</f>
        <v>-4.8311136867318361E-4</v>
      </c>
      <c r="B19" s="4">
        <f>IFERROR(Merged_data[[#This Row],[XAUUSD_Close]]/Merged_data!C18-1, "")</f>
        <v>1.9333965570398792E-2</v>
      </c>
      <c r="C19" s="4">
        <f>IFERROR(Merged_data[[#This Row],[AAPL_Close]]/Merged_data!B18-1,"")</f>
        <v>1.3423625046161902E-2</v>
      </c>
      <c r="D19" s="4">
        <f t="shared" si="0"/>
        <v>1.1615740331406133E-2</v>
      </c>
      <c r="H19" s="7" t="s">
        <v>22</v>
      </c>
      <c r="I19">
        <f>_xlfn.NORM.S.INV(I18)</f>
        <v>-2.3263478740408408</v>
      </c>
      <c r="J19">
        <f>_xlfn.NORM.S.INV(J18)</f>
        <v>-1.6448536269514726</v>
      </c>
    </row>
    <row r="20" spans="1:11" x14ac:dyDescent="0.25">
      <c r="A20" s="4">
        <f>IFERROR(Merged_data[[#This Row],[BTCUSD_Close]]/Merged_data!D19-1,"")</f>
        <v>7.703925505703868E-3</v>
      </c>
      <c r="B20" s="4">
        <f>IFERROR(Merged_data[[#This Row],[XAUUSD_Close]]/Merged_data!C19-1, "")</f>
        <v>7.8085815909674228E-3</v>
      </c>
      <c r="C20" s="4">
        <f>IFERROR(Merged_data[[#This Row],[AAPL_Close]]/Merged_data!B19-1,"")</f>
        <v>1.137111998946283E-3</v>
      </c>
      <c r="D20" s="4">
        <f t="shared" si="0"/>
        <v>5.7757438877820144E-3</v>
      </c>
      <c r="H20" s="7" t="s">
        <v>14</v>
      </c>
      <c r="I20" s="12">
        <f>Historical!I6</f>
        <v>1000000</v>
      </c>
      <c r="J20" s="12">
        <f>I20</f>
        <v>1000000</v>
      </c>
    </row>
    <row r="21" spans="1:11" x14ac:dyDescent="0.25">
      <c r="A21" s="4">
        <f>IFERROR(Merged_data[[#This Row],[BTCUSD_Close]]/Merged_data!D20-1,"")</f>
        <v>2.4838458116575479E-2</v>
      </c>
      <c r="B21" s="4">
        <f>IFERROR(Merged_data[[#This Row],[XAUUSD_Close]]/Merged_data!C20-1, "")</f>
        <v>6.8382172767560423E-3</v>
      </c>
      <c r="C21" s="4">
        <f>IFERROR(Merged_data[[#This Row],[AAPL_Close]]/Merged_data!B20-1,"")</f>
        <v>3.1531077187549883E-3</v>
      </c>
      <c r="D21" s="4">
        <f t="shared" si="0"/>
        <v>1.1132756661301558E-2</v>
      </c>
      <c r="H21" s="7" t="s">
        <v>15</v>
      </c>
      <c r="I21" s="10">
        <f>ABS((I15+(I16*I19))*I20)</f>
        <v>27930.257085124824</v>
      </c>
      <c r="J21" s="10">
        <f>ABS(J15+(J16*J19))*J20</f>
        <v>19286.185361585529</v>
      </c>
      <c r="K21" s="9"/>
    </row>
    <row r="22" spans="1:11" x14ac:dyDescent="0.25">
      <c r="A22" s="4">
        <f>IFERROR(Merged_data[[#This Row],[BTCUSD_Close]]/Merged_data!D21-1,"")</f>
        <v>4.4587575801956714E-2</v>
      </c>
      <c r="B22" s="4">
        <f>IFERROR(Merged_data[[#This Row],[XAUUSD_Close]]/Merged_data!C21-1, "")</f>
        <v>7.3200227147096619E-3</v>
      </c>
      <c r="C22" s="4">
        <f>IFERROR(Merged_data[[#This Row],[AAPL_Close]]/Merged_data!B21-1,"")</f>
        <v>-2.094007379299434E-3</v>
      </c>
      <c r="D22" s="4">
        <f t="shared" si="0"/>
        <v>1.5676079612681047E-2</v>
      </c>
    </row>
    <row r="23" spans="1:11" x14ac:dyDescent="0.25">
      <c r="A23" s="4">
        <f>IFERROR(Merged_data[[#This Row],[BTCUSD_Close]]/Merged_data!D22-1,"")</f>
        <v>7.7468502069044654E-3</v>
      </c>
      <c r="B23" s="4">
        <f>IFERROR(Merged_data[[#This Row],[XAUUSD_Close]]/Merged_data!C22-1, "")</f>
        <v>1.3591592952673759E-2</v>
      </c>
      <c r="C23" s="4">
        <f>IFERROR(Merged_data[[#This Row],[AAPL_Close]]/Merged_data!B22-1,"")</f>
        <v>5.9096942642233863E-3</v>
      </c>
      <c r="D23" s="4">
        <f t="shared" si="0"/>
        <v>9.5336005224078597E-3</v>
      </c>
    </row>
    <row r="24" spans="1:11" x14ac:dyDescent="0.25">
      <c r="A24" s="4">
        <f>IFERROR(Merged_data[[#This Row],[BTCUSD_Close]]/Merged_data!D23-1,"")</f>
        <v>-4.8555493721116005E-2</v>
      </c>
      <c r="B24" s="4">
        <f>IFERROR(Merged_data[[#This Row],[XAUUSD_Close]]/Merged_data!C23-1, "")</f>
        <v>-2.9830558583861411E-2</v>
      </c>
      <c r="C24" s="4">
        <f>IFERROR(Merged_data[[#This Row],[AAPL_Close]]/Merged_data!B23-1,"")</f>
        <v>1.3047757579980779E-2</v>
      </c>
      <c r="D24" s="4">
        <f t="shared" si="0"/>
        <v>-2.2584544275885132E-2</v>
      </c>
    </row>
    <row r="25" spans="1:11" x14ac:dyDescent="0.25">
      <c r="A25" s="4">
        <f>IFERROR(Merged_data[[#This Row],[BTCUSD_Close]]/Merged_data!D24-1,"")</f>
        <v>-2.7746165762810304E-2</v>
      </c>
      <c r="B25" s="4">
        <f>IFERROR(Merged_data[[#This Row],[XAUUSD_Close]]/Merged_data!C24-1, "")</f>
        <v>3.0454474465093639E-3</v>
      </c>
      <c r="C25" s="4">
        <f>IFERROR(Merged_data[[#This Row],[AAPL_Close]]/Merged_data!B24-1,"")</f>
        <v>9.4061406450169915E-3</v>
      </c>
      <c r="D25" s="4">
        <f t="shared" si="0"/>
        <v>-4.2838285567342489E-3</v>
      </c>
    </row>
    <row r="26" spans="1:11" x14ac:dyDescent="0.25">
      <c r="A26" s="4">
        <f>IFERROR(Merged_data[[#This Row],[BTCUSD_Close]]/Merged_data!D25-1,"")</f>
        <v>4.7709713595677217E-2</v>
      </c>
      <c r="B26" s="4">
        <f>IFERROR(Merged_data[[#This Row],[XAUUSD_Close]]/Merged_data!C25-1, "")</f>
        <v>1.0329538873434796E-3</v>
      </c>
      <c r="C26" s="4">
        <f>IFERROR(Merged_data[[#This Row],[AAPL_Close]]/Merged_data!B25-1,"")</f>
        <v>-5.5365797565609665E-4</v>
      </c>
      <c r="D26" s="4">
        <f t="shared" si="0"/>
        <v>1.4559998240943728E-2</v>
      </c>
    </row>
    <row r="27" spans="1:11" x14ac:dyDescent="0.25">
      <c r="A27" s="4">
        <f>IFERROR(Merged_data[[#This Row],[BTCUSD_Close]]/Merged_data!D26-1,"")</f>
        <v>1.2912386549814192E-2</v>
      </c>
      <c r="B27" s="4">
        <f>IFERROR(Merged_data[[#This Row],[XAUUSD_Close]]/Merged_data!C26-1, "")</f>
        <v>5.504667206637448E-3</v>
      </c>
      <c r="C27" s="4">
        <f>IFERROR(Merged_data[[#This Row],[AAPL_Close]]/Merged_data!B26-1,"")</f>
        <v>1.0214256494170515E-2</v>
      </c>
      <c r="D27" s="4">
        <f t="shared" si="0"/>
        <v>9.139859795850391E-3</v>
      </c>
    </row>
    <row r="28" spans="1:11" x14ac:dyDescent="0.25">
      <c r="A28" s="4">
        <f>IFERROR(Merged_data[[#This Row],[BTCUSD_Close]]/Merged_data!D27-1,"")</f>
        <v>-2.0207694472229698E-2</v>
      </c>
      <c r="B28" s="4">
        <f>IFERROR(Merged_data[[#This Row],[XAUUSD_Close]]/Merged_data!C27-1, "")</f>
        <v>-4.2992618248565151E-3</v>
      </c>
      <c r="C28" s="4">
        <f>IFERROR(Merged_data[[#This Row],[AAPL_Close]]/Merged_data!B27-1,"")</f>
        <v>9.5246531600505779E-3</v>
      </c>
      <c r="D28" s="4">
        <f t="shared" si="0"/>
        <v>-4.9246171235963424E-3</v>
      </c>
    </row>
    <row r="29" spans="1:11" x14ac:dyDescent="0.25">
      <c r="A29" s="4">
        <f>IFERROR(Merged_data[[#This Row],[BTCUSD_Close]]/Merged_data!D28-1,"")</f>
        <v>7.8076768676216268E-3</v>
      </c>
      <c r="B29" s="4">
        <f>IFERROR(Merged_data[[#This Row],[XAUUSD_Close]]/Merged_data!C28-1, "")</f>
        <v>1.7449394860291623E-3</v>
      </c>
      <c r="C29" s="4">
        <f>IFERROR(Merged_data[[#This Row],[AAPL_Close]]/Merged_data!B28-1,"")</f>
        <v>1.2773318513999543E-2</v>
      </c>
      <c r="D29" s="4">
        <f t="shared" si="0"/>
        <v>6.8722744088980155E-3</v>
      </c>
    </row>
    <row r="30" spans="1:11" x14ac:dyDescent="0.25">
      <c r="A30" s="4">
        <f>IFERROR(Merged_data[[#This Row],[BTCUSD_Close]]/Merged_data!D29-1,"")</f>
        <v>2.2484425538995989E-2</v>
      </c>
      <c r="B30" s="4">
        <f>IFERROR(Merged_data[[#This Row],[XAUUSD_Close]]/Merged_data!C29-1, "")</f>
        <v>2.4322294995773319E-3</v>
      </c>
      <c r="C30" s="4">
        <f>IFERROR(Merged_data[[#This Row],[AAPL_Close]]/Merged_data!B29-1,"")</f>
        <v>1.4811208660638897E-3</v>
      </c>
      <c r="D30" s="4">
        <f t="shared" si="0"/>
        <v>8.1625557213488957E-3</v>
      </c>
    </row>
    <row r="31" spans="1:11" x14ac:dyDescent="0.25">
      <c r="A31" s="4">
        <f>IFERROR(Merged_data[[#This Row],[BTCUSD_Close]]/Merged_data!D30-1,"")</f>
        <v>-1.6020278112027997E-2</v>
      </c>
      <c r="B31" s="4">
        <f>IFERROR(Merged_data[[#This Row],[XAUUSD_Close]]/Merged_data!C30-1, "")</f>
        <v>-6.8337172818331293E-3</v>
      </c>
      <c r="C31" s="4">
        <f>IFERROR(Merged_data[[#This Row],[AAPL_Close]]/Merged_data!B30-1,"")</f>
        <v>1.2358749788865531E-4</v>
      </c>
      <c r="D31" s="4">
        <f t="shared" si="0"/>
        <v>-7.5024940969750549E-3</v>
      </c>
    </row>
    <row r="32" spans="1:11" x14ac:dyDescent="0.25">
      <c r="A32" s="4">
        <f>IFERROR(Merged_data[[#This Row],[BTCUSD_Close]]/Merged_data!D31-1,"")</f>
        <v>4.9402560940438045E-2</v>
      </c>
      <c r="B32" s="4">
        <f>IFERROR(Merged_data[[#This Row],[XAUUSD_Close]]/Merged_data!C31-1, "")</f>
        <v>0</v>
      </c>
      <c r="C32" s="4">
        <f>IFERROR(Merged_data[[#This Row],[AAPL_Close]]/Merged_data!B31-1,"")</f>
        <v>-8.2381483937665756E-4</v>
      </c>
      <c r="D32" s="4">
        <f t="shared" si="0"/>
        <v>1.4573623830318416E-2</v>
      </c>
    </row>
    <row r="33" spans="1:4" x14ac:dyDescent="0.25">
      <c r="A33" s="4">
        <f>IFERROR(Merged_data[[#This Row],[BTCUSD_Close]]/Merged_data!D32-1,"")</f>
        <v>-4.4561994542785976E-2</v>
      </c>
      <c r="B33" s="4">
        <f>IFERROR(Merged_data[[#This Row],[XAUUSD_Close]]/Merged_data!C32-1, "")</f>
        <v>1.0794134465051952E-2</v>
      </c>
      <c r="C33" s="4">
        <f>IFERROR(Merged_data[[#This Row],[AAPL_Close]]/Merged_data!B32-1,"")</f>
        <v>1.6102369183709664E-2</v>
      </c>
      <c r="D33" s="4">
        <f t="shared" si="0"/>
        <v>-4.2202338217021138E-3</v>
      </c>
    </row>
    <row r="34" spans="1:4" x14ac:dyDescent="0.25">
      <c r="A34" s="4">
        <f>IFERROR(Merged_data[[#This Row],[BTCUSD_Close]]/Merged_data!D33-1,"")</f>
        <v>-9.7945010578059932E-4</v>
      </c>
      <c r="B34" s="4">
        <f>IFERROR(Merged_data[[#This Row],[XAUUSD_Close]]/Merged_data!C33-1, "")</f>
        <v>1.2610909282268379E-2</v>
      </c>
      <c r="C34" s="4">
        <f>IFERROR(Merged_data[[#This Row],[AAPL_Close]]/Merged_data!B33-1,"")</f>
        <v>4.1342264452548516E-3</v>
      </c>
      <c r="D34" s="4">
        <f t="shared" si="0"/>
        <v>5.9907966147496276E-3</v>
      </c>
    </row>
    <row r="35" spans="1:4" x14ac:dyDescent="0.25">
      <c r="A35" s="4">
        <f>IFERROR(Merged_data[[#This Row],[BTCUSD_Close]]/Merged_data!D34-1,"")</f>
        <v>4.4931691197566126E-2</v>
      </c>
      <c r="B35" s="4">
        <f>IFERROR(Merged_data[[#This Row],[XAUUSD_Close]]/Merged_data!C34-1, "")</f>
        <v>8.9775403729475123E-3</v>
      </c>
      <c r="C35" s="4">
        <f>IFERROR(Merged_data[[#This Row],[AAPL_Close]]/Merged_data!B34-1,"")</f>
        <v>-5.1677185270183612E-3</v>
      </c>
      <c r="D35" s="4">
        <f t="shared" si="0"/>
        <v>1.5520207950343335E-2</v>
      </c>
    </row>
    <row r="36" spans="1:4" x14ac:dyDescent="0.25">
      <c r="A36" s="4">
        <f>IFERROR(Merged_data[[#This Row],[BTCUSD_Close]]/Merged_data!D35-1,"")</f>
        <v>-7.7529332753920599E-3</v>
      </c>
      <c r="B36" s="4">
        <f>IFERROR(Merged_data[[#This Row],[XAUUSD_Close]]/Merged_data!C35-1, "")</f>
        <v>-1.3709793129835668E-2</v>
      </c>
      <c r="C36" s="4">
        <f>IFERROR(Merged_data[[#This Row],[AAPL_Close]]/Merged_data!B35-1,"")</f>
        <v>5.9662333126200284E-3</v>
      </c>
      <c r="D36" s="4">
        <f t="shared" si="0"/>
        <v>-6.0199272407658764E-3</v>
      </c>
    </row>
    <row r="37" spans="1:4" x14ac:dyDescent="0.25">
      <c r="A37" s="4">
        <f>IFERROR(Merged_data[[#This Row],[BTCUSD_Close]]/Merged_data!D36-1,"")</f>
        <v>1.158589387560105E-2</v>
      </c>
      <c r="B37" s="4">
        <f>IFERROR(Merged_data[[#This Row],[XAUUSD_Close]]/Merged_data!C36-1, "")</f>
        <v>-1.2363546840292172E-2</v>
      </c>
      <c r="C37" s="4">
        <f>IFERROR(Merged_data[[#This Row],[AAPL_Close]]/Merged_data!B36-1,"")</f>
        <v>6.8231000290697175E-4</v>
      </c>
      <c r="D37" s="4">
        <f t="shared" si="0"/>
        <v>-1.2649575725644626E-3</v>
      </c>
    </row>
    <row r="38" spans="1:4" x14ac:dyDescent="0.25">
      <c r="A38" s="4">
        <f>IFERROR(Merged_data[[#This Row],[BTCUSD_Close]]/Merged_data!D37-1,"")</f>
        <v>4.1453887101376541E-2</v>
      </c>
      <c r="B38" s="4">
        <f>IFERROR(Merged_data[[#This Row],[XAUUSD_Close]]/Merged_data!C37-1, "")</f>
        <v>1.8903056214403247E-3</v>
      </c>
      <c r="C38" s="4">
        <f>IFERROR(Merged_data[[#This Row],[AAPL_Close]]/Merged_data!B37-1,"")</f>
        <v>1.1728537019329632E-2</v>
      </c>
      <c r="D38" s="4">
        <f t="shared" si="0"/>
        <v>1.671084948478798E-2</v>
      </c>
    </row>
    <row r="39" spans="1:4" x14ac:dyDescent="0.25">
      <c r="A39" s="4">
        <f>IFERROR(Merged_data[[#This Row],[BTCUSD_Close]]/Merged_data!D38-1,"")</f>
        <v>1.303805600695318E-3</v>
      </c>
      <c r="B39" s="4">
        <f>IFERROR(Merged_data[[#This Row],[XAUUSD_Close]]/Merged_data!C38-1, "")</f>
        <v>-2.297637335192948E-3</v>
      </c>
      <c r="C39" s="4">
        <f>IFERROR(Merged_data[[#This Row],[AAPL_Close]]/Merged_data!B38-1,"")</f>
        <v>9.7222886857761814E-3</v>
      </c>
      <c r="D39" s="4">
        <f t="shared" si="0"/>
        <v>2.3887733518642706E-3</v>
      </c>
    </row>
    <row r="40" spans="1:4" x14ac:dyDescent="0.25">
      <c r="A40" s="4">
        <f>IFERROR(Merged_data[[#This Row],[BTCUSD_Close]]/Merged_data!D39-1,"")</f>
        <v>-4.5970070389311446E-2</v>
      </c>
      <c r="B40" s="4">
        <f>IFERROR(Merged_data[[#This Row],[XAUUSD_Close]]/Merged_data!C39-1, "")</f>
        <v>-2.315775155575206E-2</v>
      </c>
      <c r="C40" s="4">
        <f>IFERROR(Merged_data[[#This Row],[AAPL_Close]]/Merged_data!B39-1,"")</f>
        <v>-2.1421631740665581E-2</v>
      </c>
      <c r="D40" s="4">
        <f t="shared" si="0"/>
        <v>-2.9480611261293928E-2</v>
      </c>
    </row>
    <row r="41" spans="1:4" x14ac:dyDescent="0.25">
      <c r="A41" s="4">
        <f>IFERROR(Merged_data[[#This Row],[BTCUSD_Close]]/Merged_data!D40-1,"")</f>
        <v>-2.8590643853229181E-2</v>
      </c>
      <c r="B41" s="4">
        <f>IFERROR(Merged_data[[#This Row],[XAUUSD_Close]]/Merged_data!C40-1, "")</f>
        <v>3.4598930894969016E-3</v>
      </c>
      <c r="C41" s="4">
        <f>IFERROR(Merged_data[[#This Row],[AAPL_Close]]/Merged_data!B40-1,"")</f>
        <v>7.0143434848937147E-3</v>
      </c>
      <c r="D41" s="4">
        <f t="shared" si="0"/>
        <v>-5.0889328747018795E-3</v>
      </c>
    </row>
    <row r="42" spans="1:4" x14ac:dyDescent="0.25">
      <c r="A42" s="4">
        <f>IFERROR(Merged_data[[#This Row],[BTCUSD_Close]]/Merged_data!D41-1,"")</f>
        <v>-1.8385407333800341E-2</v>
      </c>
      <c r="B42" s="4">
        <f>IFERROR(Merged_data[[#This Row],[XAUUSD_Close]]/Merged_data!C41-1, "")</f>
        <v>1.1103251955741245E-2</v>
      </c>
      <c r="C42" s="4">
        <f>IFERROR(Merged_data[[#This Row],[AAPL_Close]]/Merged_data!B41-1,"")</f>
        <v>1.8816428605780811E-2</v>
      </c>
      <c r="D42" s="4">
        <f t="shared" si="0"/>
        <v>4.5706071638906389E-3</v>
      </c>
    </row>
    <row r="43" spans="1:4" x14ac:dyDescent="0.25">
      <c r="A43" s="4">
        <f>IFERROR(Merged_data[[#This Row],[BTCUSD_Close]]/Merged_data!D42-1,"")</f>
        <v>-1.4143262243629939E-2</v>
      </c>
      <c r="B43" s="4">
        <f>IFERROR(Merged_data[[#This Row],[XAUUSD_Close]]/Merged_data!C42-1, "")</f>
        <v>-3.8675760267470327E-3</v>
      </c>
      <c r="C43" s="4">
        <f>IFERROR(Merged_data[[#This Row],[AAPL_Close]]/Merged_data!B42-1,"")</f>
        <v>3.0643835239230199E-3</v>
      </c>
      <c r="D43" s="4">
        <f t="shared" si="0"/>
        <v>-4.8706940266108889E-3</v>
      </c>
    </row>
    <row r="44" spans="1:4" x14ac:dyDescent="0.25">
      <c r="A44" s="4">
        <f>IFERROR(Merged_data[[#This Row],[BTCUSD_Close]]/Merged_data!D43-1,"")</f>
        <v>3.846509934792075E-2</v>
      </c>
      <c r="B44" s="4">
        <f>IFERROR(Merged_data[[#This Row],[XAUUSD_Close]]/Merged_data!C43-1, "")</f>
        <v>1.238066625971701E-3</v>
      </c>
      <c r="C44" s="4">
        <f>IFERROR(Merged_data[[#This Row],[AAPL_Close]]/Merged_data!B43-1,"")</f>
        <v>1.1474959802345142E-2</v>
      </c>
      <c r="D44" s="4">
        <f t="shared" si="0"/>
        <v>1.5477244395468447E-2</v>
      </c>
    </row>
    <row r="45" spans="1:4" x14ac:dyDescent="0.25">
      <c r="A45" s="4">
        <f>IFERROR(Merged_data[[#This Row],[BTCUSD_Close]]/Merged_data!D44-1,"")</f>
        <v>-3.0367992186890569E-2</v>
      </c>
      <c r="B45" s="4">
        <f>IFERROR(Merged_data[[#This Row],[XAUUSD_Close]]/Merged_data!C44-1, "")</f>
        <v>6.7330994044754178E-3</v>
      </c>
      <c r="C45" s="4">
        <f>IFERROR(Merged_data[[#This Row],[AAPL_Close]]/Merged_data!B44-1,"")</f>
        <v>3.1793297042448376E-3</v>
      </c>
      <c r="D45" s="4">
        <f t="shared" si="0"/>
        <v>-5.4633589830035516E-3</v>
      </c>
    </row>
    <row r="46" spans="1:4" x14ac:dyDescent="0.25">
      <c r="A46" s="4">
        <f>IFERROR(Merged_data[[#This Row],[BTCUSD_Close]]/Merged_data!D45-1,"")</f>
        <v>-1.2625851022480705E-2</v>
      </c>
      <c r="B46" s="4">
        <f>IFERROR(Merged_data[[#This Row],[XAUUSD_Close]]/Merged_data!C45-1, "")</f>
        <v>-6.9253681474831241E-3</v>
      </c>
      <c r="C46" s="4">
        <f>IFERROR(Merged_data[[#This Row],[AAPL_Close]]/Merged_data!B45-1,"")</f>
        <v>-1.3245161090841617E-2</v>
      </c>
      <c r="D46" s="4">
        <f t="shared" si="0"/>
        <v>-1.0531450892989947E-2</v>
      </c>
    </row>
    <row r="47" spans="1:4" x14ac:dyDescent="0.25">
      <c r="A47" s="4">
        <f>IFERROR(Merged_data[[#This Row],[BTCUSD_Close]]/Merged_data!D46-1,"")</f>
        <v>-1.9985185185185217E-2</v>
      </c>
      <c r="B47" s="4">
        <f>IFERROR(Merged_data[[#This Row],[XAUUSD_Close]]/Merged_data!C46-1, "")</f>
        <v>-3.6665258425074843E-3</v>
      </c>
      <c r="C47" s="4">
        <f>IFERROR(Merged_data[[#This Row],[AAPL_Close]]/Merged_data!B46-1,"")</f>
        <v>-1.3262360512163673E-2</v>
      </c>
      <c r="D47" s="4">
        <f t="shared" si="0"/>
        <v>-1.1440874046207659E-2</v>
      </c>
    </row>
    <row r="48" spans="1:4" x14ac:dyDescent="0.25">
      <c r="A48" s="4">
        <f>IFERROR(Merged_data[[#This Row],[BTCUSD_Close]]/Merged_data!D47-1,"")</f>
        <v>7.6048952936680347E-3</v>
      </c>
      <c r="B48" s="4">
        <f>IFERROR(Merged_data[[#This Row],[XAUUSD_Close]]/Merged_data!C47-1, "")</f>
        <v>7.1451458480831231E-3</v>
      </c>
      <c r="C48" s="4">
        <f>IFERROR(Merged_data[[#This Row],[AAPL_Close]]/Merged_data!B47-1,"")</f>
        <v>-7.0577120786906589E-3</v>
      </c>
      <c r="D48" s="4">
        <f t="shared" si="0"/>
        <v>3.0222133037264621E-3</v>
      </c>
    </row>
    <row r="49" spans="1:4" x14ac:dyDescent="0.25">
      <c r="A49" s="4">
        <f>IFERROR(Merged_data[[#This Row],[BTCUSD_Close]]/Merged_data!D48-1,"")</f>
        <v>3.7477080491278514E-2</v>
      </c>
      <c r="B49" s="4">
        <f>IFERROR(Merged_data[[#This Row],[XAUUSD_Close]]/Merged_data!C48-1, "")</f>
        <v>1.2735346731006958E-2</v>
      </c>
      <c r="C49" s="4">
        <f>IFERROR(Merged_data[[#This Row],[AAPL_Close]]/Merged_data!B48-1,"")</f>
        <v>-2.6236782666053782E-2</v>
      </c>
      <c r="D49" s="4">
        <f t="shared" si="0"/>
        <v>8.4662280399702017E-3</v>
      </c>
    </row>
    <row r="50" spans="1:4" x14ac:dyDescent="0.25">
      <c r="A50" s="4">
        <f>IFERROR(Merged_data[[#This Row],[BTCUSD_Close]]/Merged_data!D49-1,"")</f>
        <v>1.5393609735892655E-2</v>
      </c>
      <c r="B50" s="4">
        <f>IFERROR(Merged_data[[#This Row],[XAUUSD_Close]]/Merged_data!C49-1, "")</f>
        <v>-7.4303708413436809E-3</v>
      </c>
      <c r="C50" s="4">
        <f>IFERROR(Merged_data[[#This Row],[AAPL_Close]]/Merged_data!B49-1,"")</f>
        <v>-2.0075375027711617E-3</v>
      </c>
      <c r="D50" s="4">
        <f t="shared" si="0"/>
        <v>1.0436733333989753E-3</v>
      </c>
    </row>
    <row r="51" spans="1:4" x14ac:dyDescent="0.25">
      <c r="A51" s="4">
        <f>IFERROR(Merged_data[[#This Row],[BTCUSD_Close]]/Merged_data!D50-1,"")</f>
        <v>3.8023177271950592E-2</v>
      </c>
      <c r="B51" s="4">
        <f>IFERROR(Merged_data[[#This Row],[XAUUSD_Close]]/Merged_data!C50-1, "")</f>
        <v>-8.244069955198885E-4</v>
      </c>
      <c r="C51" s="4">
        <f>IFERROR(Merged_data[[#This Row],[AAPL_Close]]/Merged_data!B50-1,"")</f>
        <v>6.73816193802379E-3</v>
      </c>
      <c r="D51" s="4">
        <f t="shared" si="0"/>
        <v>1.3098638964784358E-2</v>
      </c>
    </row>
    <row r="52" spans="1:4" x14ac:dyDescent="0.25">
      <c r="A52" s="4">
        <f>IFERROR(Merged_data[[#This Row],[BTCUSD_Close]]/Merged_data!D51-1,"")</f>
        <v>-4.813947334894797E-2</v>
      </c>
      <c r="B52" s="4">
        <f>IFERROR(Merged_data[[#This Row],[XAUUSD_Close]]/Merged_data!C51-1, "")</f>
        <v>4.7987830437941081E-3</v>
      </c>
      <c r="C52" s="4">
        <f>IFERROR(Merged_data[[#This Row],[AAPL_Close]]/Merged_data!B51-1,"")</f>
        <v>-1.1388013778393491E-2</v>
      </c>
      <c r="D52" s="4">
        <f t="shared" si="0"/>
        <v>-1.5938732920684793E-2</v>
      </c>
    </row>
    <row r="53" spans="1:4" x14ac:dyDescent="0.25">
      <c r="A53" s="4">
        <f>IFERROR(Merged_data[[#This Row],[BTCUSD_Close]]/Merged_data!D52-1,"")</f>
        <v>-1.9223958290434884E-2</v>
      </c>
      <c r="B53" s="4">
        <f>IFERROR(Merged_data[[#This Row],[XAUUSD_Close]]/Merged_data!C52-1, "")</f>
        <v>5.0458048842181302E-3</v>
      </c>
      <c r="C53" s="4">
        <f>IFERROR(Merged_data[[#This Row],[AAPL_Close]]/Merged_data!B52-1,"")</f>
        <v>2.0211288562643759E-3</v>
      </c>
      <c r="D53" s="4">
        <f t="shared" si="0"/>
        <v>-3.1425268765639005E-3</v>
      </c>
    </row>
    <row r="54" spans="1:4" x14ac:dyDescent="0.25">
      <c r="A54" s="4">
        <f>IFERROR(Merged_data[[#This Row],[BTCUSD_Close]]/Merged_data!D53-1,"")</f>
        <v>-6.7739781821846146E-3</v>
      </c>
      <c r="B54" s="4">
        <f>IFERROR(Merged_data[[#This Row],[XAUUSD_Close]]/Merged_data!C53-1, "")</f>
        <v>1.0713346606062935E-2</v>
      </c>
      <c r="C54" s="4">
        <f>IFERROR(Merged_data[[#This Row],[AAPL_Close]]/Merged_data!B53-1,"")</f>
        <v>-2.4101504333155943E-2</v>
      </c>
      <c r="D54" s="4">
        <f t="shared" si="0"/>
        <v>-4.9773061121769924E-3</v>
      </c>
    </row>
    <row r="55" spans="1:4" x14ac:dyDescent="0.25">
      <c r="A55" s="4">
        <f>IFERROR(Merged_data[[#This Row],[BTCUSD_Close]]/Merged_data!D54-1,"")</f>
        <v>-2.6993234780899877E-3</v>
      </c>
      <c r="B55" s="4">
        <f>IFERROR(Merged_data[[#This Row],[XAUUSD_Close]]/Merged_data!C54-1, "")</f>
        <v>-1.0248567244724227E-2</v>
      </c>
      <c r="C55" s="4">
        <f>IFERROR(Merged_data[[#This Row],[AAPL_Close]]/Merged_data!B54-1,"")</f>
        <v>-1.0342787100046547E-2</v>
      </c>
      <c r="D55" s="4">
        <f t="shared" si="0"/>
        <v>-8.0120600713306511E-3</v>
      </c>
    </row>
    <row r="56" spans="1:4" x14ac:dyDescent="0.25">
      <c r="A56" s="4">
        <f>IFERROR(Merged_data[[#This Row],[BTCUSD_Close]]/Merged_data!D55-1,"")</f>
        <v>2.4665936844604053E-2</v>
      </c>
      <c r="B56" s="4">
        <f>IFERROR(Merged_data[[#This Row],[XAUUSD_Close]]/Merged_data!C55-1, "")</f>
        <v>5.3754254997568918E-3</v>
      </c>
      <c r="C56" s="4">
        <f>IFERROR(Merged_data[[#This Row],[AAPL_Close]]/Merged_data!B55-1,"")</f>
        <v>-4.7791307021777252E-3</v>
      </c>
      <c r="D56" s="4">
        <f t="shared" si="0"/>
        <v>8.1162120426306553E-3</v>
      </c>
    </row>
    <row r="57" spans="1:4" x14ac:dyDescent="0.25">
      <c r="A57" s="4">
        <f>IFERROR(Merged_data[[#This Row],[BTCUSD_Close]]/Merged_data!D56-1,"")</f>
        <v>3.1238493966184278E-2</v>
      </c>
      <c r="B57" s="4">
        <f>IFERROR(Merged_data[[#This Row],[XAUUSD_Close]]/Merged_data!C56-1, "")</f>
        <v>7.1581707353511881E-3</v>
      </c>
      <c r="C57" s="4">
        <f>IFERROR(Merged_data[[#This Row],[AAPL_Close]]/Merged_data!B56-1,"")</f>
        <v>1.9676084866794952E-2</v>
      </c>
      <c r="D57" s="4">
        <f t="shared" si="0"/>
        <v>1.8137641944034243E-2</v>
      </c>
    </row>
    <row r="58" spans="1:4" x14ac:dyDescent="0.25">
      <c r="A58" s="4">
        <f>IFERROR(Merged_data[[#This Row],[BTCUSD_Close]]/Merged_data!D57-1,"")</f>
        <v>1.1182563625276032E-3</v>
      </c>
      <c r="B58" s="4">
        <f>IFERROR(Merged_data[[#This Row],[XAUUSD_Close]]/Merged_data!C57-1, "")</f>
        <v>6.7345935973150972E-3</v>
      </c>
      <c r="C58" s="4">
        <f>IFERROR(Merged_data[[#This Row],[AAPL_Close]]/Merged_data!B57-1,"")</f>
        <v>-4.04025100059342E-2</v>
      </c>
      <c r="D58" s="4">
        <f t="shared" si="0"/>
        <v>-9.0914386540959409E-3</v>
      </c>
    </row>
    <row r="59" spans="1:4" x14ac:dyDescent="0.25">
      <c r="A59" s="4">
        <f>IFERROR(Merged_data[[#This Row],[BTCUSD_Close]]/Merged_data!D58-1,"")</f>
        <v>4.936571018119551E-2</v>
      </c>
      <c r="B59" s="4">
        <f>IFERROR(Merged_data[[#This Row],[XAUUSD_Close]]/Merged_data!C58-1, "")</f>
        <v>-5.0908300594728617E-3</v>
      </c>
      <c r="C59" s="4">
        <f>IFERROR(Merged_data[[#This Row],[AAPL_Close]]/Merged_data!B58-1,"")</f>
        <v>7.5347902933657895E-3</v>
      </c>
      <c r="D59" s="4">
        <f t="shared" si="0"/>
        <v>1.5033818118579245E-2</v>
      </c>
    </row>
    <row r="60" spans="1:4" x14ac:dyDescent="0.25">
      <c r="A60" s="4">
        <f>IFERROR(Merged_data[[#This Row],[BTCUSD_Close]]/Merged_data!D59-1,"")</f>
        <v>1.2076602894566024E-2</v>
      </c>
      <c r="B60" s="4">
        <f>IFERROR(Merged_data[[#This Row],[XAUUSD_Close]]/Merged_data!C59-1, "")</f>
        <v>1.627071327148899E-2</v>
      </c>
      <c r="C60" s="4">
        <f>IFERROR(Merged_data[[#This Row],[AAPL_Close]]/Merged_data!B59-1,"")</f>
        <v>-3.191614394476916E-2</v>
      </c>
      <c r="D60" s="4">
        <f t="shared" si="0"/>
        <v>5.5642299353465645E-4</v>
      </c>
    </row>
    <row r="61" spans="1:4" x14ac:dyDescent="0.25">
      <c r="A61" s="4">
        <f>IFERROR(Merged_data[[#This Row],[BTCUSD_Close]]/Merged_data!D60-1,"")</f>
        <v>-2.0846499957552389E-2</v>
      </c>
      <c r="B61" s="4">
        <f>IFERROR(Merged_data[[#This Row],[XAUUSD_Close]]/Merged_data!C60-1, "")</f>
        <v>4.1879037164684885E-3</v>
      </c>
      <c r="C61" s="4">
        <f>IFERROR(Merged_data[[#This Row],[AAPL_Close]]/Merged_data!B60-1,"")</f>
        <v>5.3463432181477533E-3</v>
      </c>
      <c r="D61" s="4">
        <f t="shared" si="0"/>
        <v>-2.9748855352339943E-3</v>
      </c>
    </row>
    <row r="62" spans="1:4" x14ac:dyDescent="0.25">
      <c r="A62" s="4">
        <f>IFERROR(Merged_data[[#This Row],[BTCUSD_Close]]/Merged_data!D61-1,"")</f>
        <v>1.8592911572883342E-3</v>
      </c>
      <c r="B62" s="4">
        <f>IFERROR(Merged_data[[#This Row],[XAUUSD_Close]]/Merged_data!C61-1, "")</f>
        <v>-5.1518246347903585E-4</v>
      </c>
      <c r="C62" s="4">
        <f>IFERROR(Merged_data[[#This Row],[AAPL_Close]]/Merged_data!B61-1,"")</f>
        <v>-7.6034063260344009E-4</v>
      </c>
      <c r="D62" s="4">
        <f t="shared" si="0"/>
        <v>1.2361217201385389E-4</v>
      </c>
    </row>
    <row r="63" spans="1:4" x14ac:dyDescent="0.25">
      <c r="A63" s="4">
        <f>IFERROR(Merged_data[[#This Row],[BTCUSD_Close]]/Merged_data!D62-1,"")</f>
        <v>9.8465325589445207E-3</v>
      </c>
      <c r="B63" s="4">
        <f>IFERROR(Merged_data[[#This Row],[XAUUSD_Close]]/Merged_data!C62-1, "")</f>
        <v>5.8877230809997183E-3</v>
      </c>
      <c r="C63" s="4">
        <f>IFERROR(Merged_data[[#This Row],[AAPL_Close]]/Merged_data!B62-1,"")</f>
        <v>-3.9343998137985059E-3</v>
      </c>
      <c r="D63" s="4">
        <f t="shared" si="0"/>
        <v>4.1287290559436918E-3</v>
      </c>
    </row>
    <row r="64" spans="1:4" x14ac:dyDescent="0.25">
      <c r="A64" s="4">
        <f>IFERROR(Merged_data[[#This Row],[BTCUSD_Close]]/Merged_data!D63-1,"")</f>
        <v>-3.249857170062842E-2</v>
      </c>
      <c r="B64" s="4">
        <f>IFERROR(Merged_data[[#This Row],[XAUUSD_Close]]/Merged_data!C63-1, "")</f>
        <v>-1.0889157935191962E-2</v>
      </c>
      <c r="C64" s="4">
        <f>IFERROR(Merged_data[[#This Row],[AAPL_Close]]/Merged_data!B63-1,"")</f>
        <v>3.1783764351674959E-2</v>
      </c>
      <c r="D64" s="4">
        <f t="shared" si="0"/>
        <v>-4.5701053787628228E-3</v>
      </c>
    </row>
    <row r="65" spans="1:4" x14ac:dyDescent="0.25">
      <c r="A65" s="4">
        <f>IFERROR(Merged_data[[#This Row],[BTCUSD_Close]]/Merged_data!D64-1,"")</f>
        <v>-4.0154713750036874E-3</v>
      </c>
      <c r="B65" s="4">
        <f>IFERROR(Merged_data[[#This Row],[XAUUSD_Close]]/Merged_data!C64-1, "")</f>
        <v>8.376718850900966E-3</v>
      </c>
      <c r="C65" s="4">
        <f>IFERROR(Merged_data[[#This Row],[AAPL_Close]]/Merged_data!B64-1,"")</f>
        <v>3.6540538657189536E-2</v>
      </c>
      <c r="D65" s="4">
        <f t="shared" si="0"/>
        <v>1.3108207725016141E-2</v>
      </c>
    </row>
    <row r="66" spans="1:4" x14ac:dyDescent="0.25">
      <c r="A66" s="4">
        <f>IFERROR(Merged_data[[#This Row],[BTCUSD_Close]]/Merged_data!D65-1,"")</f>
        <v>2.2618800581033494E-2</v>
      </c>
      <c r="B66" s="4">
        <f>IFERROR(Merged_data[[#This Row],[XAUUSD_Close]]/Merged_data!C65-1, "")</f>
        <v>-1.5449240020406485E-3</v>
      </c>
      <c r="C66" s="4">
        <f>IFERROR(Merged_data[[#This Row],[AAPL_Close]]/Merged_data!B65-1,"")</f>
        <v>4.617685862906562E-3</v>
      </c>
      <c r="D66" s="4">
        <f t="shared" si="0"/>
        <v>7.5529763323657576E-3</v>
      </c>
    </row>
    <row r="67" spans="1:4" x14ac:dyDescent="0.25">
      <c r="A67" s="4">
        <f>IFERROR(Merged_data[[#This Row],[BTCUSD_Close]]/Merged_data!D66-1,"")</f>
        <v>1.5760281385281294E-2</v>
      </c>
      <c r="B67" s="4">
        <f>IFERROR(Merged_data[[#This Row],[XAUUSD_Close]]/Merged_data!C66-1, "")</f>
        <v>1.2528898906371211E-2</v>
      </c>
      <c r="C67" s="4">
        <f>IFERROR(Merged_data[[#This Row],[AAPL_Close]]/Merged_data!B66-1,"")</f>
        <v>-7.3944884293821733E-3</v>
      </c>
      <c r="D67" s="4">
        <f t="shared" si="0"/>
        <v>7.5212974493182212E-3</v>
      </c>
    </row>
    <row r="68" spans="1:4" x14ac:dyDescent="0.25">
      <c r="A68" s="4">
        <f>IFERROR(Merged_data[[#This Row],[BTCUSD_Close]]/Merged_data!D67-1,"")</f>
        <v>-3.3504884939925206E-2</v>
      </c>
      <c r="B68" s="4">
        <f>IFERROR(Merged_data[[#This Row],[XAUUSD_Close]]/Merged_data!C67-1, "")</f>
        <v>2.5356140140542216E-3</v>
      </c>
      <c r="C68" s="4">
        <f>IFERROR(Merged_data[[#This Row],[AAPL_Close]]/Merged_data!B67-1,"")</f>
        <v>-6.6911334055256289E-3</v>
      </c>
      <c r="D68" s="4">
        <f t="shared" ref="D68:D131" si="1">SUMPRODUCT(A68:C68,$I$2:$K$2)</f>
        <v>-1.1044559898013562E-2</v>
      </c>
    </row>
    <row r="69" spans="1:4" x14ac:dyDescent="0.25">
      <c r="A69" s="4">
        <f>IFERROR(Merged_data[[#This Row],[BTCUSD_Close]]/Merged_data!D68-1,"")</f>
        <v>1.1614516176658984E-3</v>
      </c>
      <c r="B69" s="4">
        <f>IFERROR(Merged_data[[#This Row],[XAUUSD_Close]]/Merged_data!C68-1, "")</f>
        <v>4.8977610235321212E-3</v>
      </c>
      <c r="C69" s="4">
        <f>IFERROR(Merged_data[[#This Row],[AAPL_Close]]/Merged_data!B68-1,"")</f>
        <v>-3.3854950984343102E-2</v>
      </c>
      <c r="D69" s="4">
        <f t="shared" si="1"/>
        <v>-7.8489454005903122E-3</v>
      </c>
    </row>
    <row r="70" spans="1:4" x14ac:dyDescent="0.25">
      <c r="A70" s="4">
        <f>IFERROR(Merged_data[[#This Row],[BTCUSD_Close]]/Merged_data!D69-1,"")</f>
        <v>-3.9585115273066851E-2</v>
      </c>
      <c r="B70" s="4">
        <f>IFERROR(Merged_data[[#This Row],[XAUUSD_Close]]/Merged_data!C69-1, "")</f>
        <v>9.7975133214920351E-3</v>
      </c>
      <c r="C70" s="4">
        <f>IFERROR(Merged_data[[#This Row],[AAPL_Close]]/Merged_data!B69-1,"")</f>
        <v>2.1004566210045761E-2</v>
      </c>
      <c r="D70" s="4">
        <f t="shared" si="1"/>
        <v>-1.6551593903095128E-3</v>
      </c>
    </row>
    <row r="71" spans="1:4" x14ac:dyDescent="0.25">
      <c r="A71" s="4">
        <f>IFERROR(Merged_data[[#This Row],[BTCUSD_Close]]/Merged_data!D70-1,"")</f>
        <v>-1.2139594589337999E-2</v>
      </c>
      <c r="B71" s="4">
        <f>IFERROR(Merged_data[[#This Row],[XAUUSD_Close]]/Merged_data!C70-1, "")</f>
        <v>8.4746955230812215E-3</v>
      </c>
      <c r="C71" s="4">
        <f>IFERROR(Merged_data[[#This Row],[AAPL_Close]]/Merged_data!B70-1,"")</f>
        <v>-1.414786018990033E-3</v>
      </c>
      <c r="D71" s="4">
        <f t="shared" si="1"/>
        <v>-6.7643597326592052E-4</v>
      </c>
    </row>
    <row r="72" spans="1:4" x14ac:dyDescent="0.25">
      <c r="A72" s="4">
        <f>IFERROR(Merged_data[[#This Row],[BTCUSD_Close]]/Merged_data!D71-1,"")</f>
        <v>4.5853639328226059E-3</v>
      </c>
      <c r="B72" s="4">
        <f>IFERROR(Merged_data[[#This Row],[XAUUSD_Close]]/Merged_data!C71-1, "")</f>
        <v>-3.7098794071170893E-3</v>
      </c>
      <c r="C72" s="4">
        <f>IFERROR(Merged_data[[#This Row],[AAPL_Close]]/Merged_data!B71-1,"")</f>
        <v>3.2254591649978348E-3</v>
      </c>
      <c r="D72" s="4">
        <f t="shared" si="1"/>
        <v>8.5929516649929617E-4</v>
      </c>
    </row>
    <row r="73" spans="1:4" x14ac:dyDescent="0.25">
      <c r="A73" s="4">
        <f>IFERROR(Merged_data[[#This Row],[BTCUSD_Close]]/Merged_data!D72-1,"")</f>
        <v>-1.0580204074054134E-2</v>
      </c>
      <c r="B73" s="4">
        <f>IFERROR(Merged_data[[#This Row],[XAUUSD_Close]]/Merged_data!C72-1, "")</f>
        <v>1.6176272349603948E-3</v>
      </c>
      <c r="C73" s="4">
        <f>IFERROR(Merged_data[[#This Row],[AAPL_Close]]/Merged_data!B72-1,"")</f>
        <v>-2.3969368657818402E-2</v>
      </c>
      <c r="D73" s="4">
        <f t="shared" si="1"/>
        <v>-9.7178209255776027E-3</v>
      </c>
    </row>
    <row r="74" spans="1:4" x14ac:dyDescent="0.25">
      <c r="A74" s="4">
        <f>IFERROR(Merged_data[[#This Row],[BTCUSD_Close]]/Merged_data!D73-1,"")</f>
        <v>1.5725686643487391E-2</v>
      </c>
      <c r="B74" s="4">
        <f>IFERROR(Merged_data[[#This Row],[XAUUSD_Close]]/Merged_data!C73-1, "")</f>
        <v>1.6566136077227123E-2</v>
      </c>
      <c r="C74" s="4">
        <f>IFERROR(Merged_data[[#This Row],[AAPL_Close]]/Merged_data!B73-1,"")</f>
        <v>1.1874395285424999E-3</v>
      </c>
      <c r="D74" s="4">
        <f t="shared" si="1"/>
        <v>1.1700392282499817E-2</v>
      </c>
    </row>
    <row r="75" spans="1:4" x14ac:dyDescent="0.25">
      <c r="A75" s="4">
        <f>IFERROR(Merged_data[[#This Row],[BTCUSD_Close]]/Merged_data!D74-1,"")</f>
        <v>-1.9404092667500761E-2</v>
      </c>
      <c r="B75" s="4">
        <f>IFERROR(Merged_data[[#This Row],[XAUUSD_Close]]/Merged_data!C74-1, "")</f>
        <v>-3.5986375726648756E-3</v>
      </c>
      <c r="C75" s="4">
        <f>IFERROR(Merged_data[[#This Row],[AAPL_Close]]/Merged_data!B74-1,"")</f>
        <v>2.1831759279595797E-2</v>
      </c>
      <c r="D75" s="4">
        <f t="shared" si="1"/>
        <v>-7.1115504543743917E-4</v>
      </c>
    </row>
    <row r="76" spans="1:4" x14ac:dyDescent="0.25">
      <c r="A76" s="4">
        <f>IFERROR(Merged_data[[#This Row],[BTCUSD_Close]]/Merged_data!D75-1,"")</f>
        <v>2.3867092887183583E-2</v>
      </c>
      <c r="B76" s="4">
        <f>IFERROR(Merged_data[[#This Row],[XAUUSD_Close]]/Merged_data!C75-1, "")</f>
        <v>2.184581616383241E-3</v>
      </c>
      <c r="C76" s="4">
        <f>IFERROR(Merged_data[[#This Row],[AAPL_Close]]/Merged_data!B75-1,"")</f>
        <v>1.8270140142722102E-2</v>
      </c>
      <c r="D76" s="4">
        <f t="shared" si="1"/>
        <v>1.3515002555525001E-2</v>
      </c>
    </row>
    <row r="77" spans="1:4" x14ac:dyDescent="0.25">
      <c r="A77" s="4">
        <f>IFERROR(Merged_data[[#This Row],[BTCUSD_Close]]/Merged_data!D76-1,"")</f>
        <v>-1.4897114629678243E-2</v>
      </c>
      <c r="B77" s="4">
        <f>IFERROR(Merged_data[[#This Row],[XAUUSD_Close]]/Merged_data!C76-1, "")</f>
        <v>8.343922504485235E-3</v>
      </c>
      <c r="C77" s="4">
        <f>IFERROR(Merged_data[[#This Row],[AAPL_Close]]/Merged_data!B76-1,"")</f>
        <v>1.9673238485245159E-2</v>
      </c>
      <c r="D77" s="4">
        <f t="shared" si="1"/>
        <v>4.7704061584641702E-3</v>
      </c>
    </row>
    <row r="78" spans="1:4" x14ac:dyDescent="0.25">
      <c r="A78" s="4">
        <f>IFERROR(Merged_data[[#This Row],[BTCUSD_Close]]/Merged_data!D77-1,"")</f>
        <v>8.2295216707277685E-3</v>
      </c>
      <c r="B78" s="4">
        <f>IFERROR(Merged_data[[#This Row],[XAUUSD_Close]]/Merged_data!C77-1, "")</f>
        <v>-1.467825991926619E-2</v>
      </c>
      <c r="C78" s="4">
        <f>IFERROR(Merged_data[[#This Row],[AAPL_Close]]/Merged_data!B77-1,"")</f>
        <v>1.2710636359872352E-2</v>
      </c>
      <c r="D78" s="4">
        <f t="shared" si="1"/>
        <v>4.107434414735594E-4</v>
      </c>
    </row>
    <row r="79" spans="1:4" x14ac:dyDescent="0.25">
      <c r="A79" s="4">
        <f>IFERROR(Merged_data[[#This Row],[BTCUSD_Close]]/Merged_data!D78-1,"")</f>
        <v>-1.9415686944563859E-2</v>
      </c>
      <c r="B79" s="4">
        <f>IFERROR(Merged_data[[#This Row],[XAUUSD_Close]]/Merged_data!C78-1, "")</f>
        <v>1.7375119577423881E-2</v>
      </c>
      <c r="C79" s="4">
        <f>IFERROR(Merged_data[[#This Row],[AAPL_Close]]/Merged_data!B78-1,"")</f>
        <v>-5.3147996729352442E-4</v>
      </c>
      <c r="D79" s="4">
        <f t="shared" si="1"/>
        <v>9.6589775741233767E-4</v>
      </c>
    </row>
    <row r="80" spans="1:4" x14ac:dyDescent="0.25">
      <c r="A80" s="4">
        <f>IFERROR(Merged_data[[#This Row],[BTCUSD_Close]]/Merged_data!D79-1,"")</f>
        <v>1.3233319792457232E-2</v>
      </c>
      <c r="B80" s="4">
        <f>IFERROR(Merged_data[[#This Row],[XAUUSD_Close]]/Merged_data!C79-1, "")</f>
        <v>-8.0060232549417076E-4</v>
      </c>
      <c r="C80" s="4">
        <f>IFERROR(Merged_data[[#This Row],[AAPL_Close]]/Merged_data!B79-1,"")</f>
        <v>1.636192579866691E-3</v>
      </c>
      <c r="D80" s="4">
        <f t="shared" si="1"/>
        <v>4.1406127814995084E-3</v>
      </c>
    </row>
    <row r="81" spans="1:4" x14ac:dyDescent="0.25">
      <c r="A81" s="4">
        <f>IFERROR(Merged_data[[#This Row],[BTCUSD_Close]]/Merged_data!D80-1,"")</f>
        <v>1.6803449368990142E-2</v>
      </c>
      <c r="B81" s="4">
        <f>IFERROR(Merged_data[[#This Row],[XAUUSD_Close]]/Merged_data!C80-1, "")</f>
        <v>2.2963306443364306E-3</v>
      </c>
      <c r="C81" s="4">
        <f>IFERROR(Merged_data[[#This Row],[AAPL_Close]]/Merged_data!B80-1,"")</f>
        <v>3.9204475844325515E-3</v>
      </c>
      <c r="D81" s="4">
        <f t="shared" si="1"/>
        <v>7.13570134376138E-3</v>
      </c>
    </row>
    <row r="82" spans="1:4" x14ac:dyDescent="0.25">
      <c r="A82" s="4">
        <f>IFERROR(Merged_data[[#This Row],[BTCUSD_Close]]/Merged_data!D81-1,"")</f>
        <v>-3.062665435894929E-2</v>
      </c>
      <c r="B82" s="4">
        <f>IFERROR(Merged_data[[#This Row],[XAUUSD_Close]]/Merged_data!C81-1, "")</f>
        <v>-1.6175257468937776E-3</v>
      </c>
      <c r="C82" s="4">
        <f>IFERROR(Merged_data[[#This Row],[AAPL_Close]]/Merged_data!B81-1,"")</f>
        <v>-1.1389984948948495E-3</v>
      </c>
      <c r="D82" s="4">
        <f t="shared" si="1"/>
        <v>-1.0176706154910753E-2</v>
      </c>
    </row>
    <row r="83" spans="1:4" x14ac:dyDescent="0.25">
      <c r="A83" s="4">
        <f>IFERROR(Merged_data[[#This Row],[BTCUSD_Close]]/Merged_data!D82-1,"")</f>
        <v>-2.8443261673382736E-2</v>
      </c>
      <c r="B83" s="4">
        <f>IFERROR(Merged_data[[#This Row],[XAUUSD_Close]]/Merged_data!C82-1, "")</f>
        <v>6.0785302495469651E-3</v>
      </c>
      <c r="C83" s="4">
        <f>IFERROR(Merged_data[[#This Row],[AAPL_Close]]/Merged_data!B82-1,"")</f>
        <v>6.605579311748988E-3</v>
      </c>
      <c r="D83" s="4">
        <f t="shared" si="1"/>
        <v>-4.1198926086713382E-3</v>
      </c>
    </row>
    <row r="84" spans="1:4" x14ac:dyDescent="0.25">
      <c r="A84" s="4">
        <f>IFERROR(Merged_data[[#This Row],[BTCUSD_Close]]/Merged_data!D83-1,"")</f>
        <v>-4.0224973387452789E-2</v>
      </c>
      <c r="B84" s="4">
        <f>IFERROR(Merged_data[[#This Row],[XAUUSD_Close]]/Merged_data!C83-1, "")</f>
        <v>-1.2789728931576039E-2</v>
      </c>
      <c r="C84" s="4">
        <f>IFERROR(Merged_data[[#This Row],[AAPL_Close]]/Merged_data!B83-1,"")</f>
        <v>-5.340410726134559E-4</v>
      </c>
      <c r="D84" s="4">
        <f t="shared" si="1"/>
        <v>-1.7343595910650288E-2</v>
      </c>
    </row>
    <row r="85" spans="1:4" x14ac:dyDescent="0.25">
      <c r="A85" s="4">
        <f>IFERROR(Merged_data[[#This Row],[BTCUSD_Close]]/Merged_data!D84-1,"")</f>
        <v>-5.0717262196613433E-2</v>
      </c>
      <c r="B85" s="4">
        <f>IFERROR(Merged_data[[#This Row],[XAUUSD_Close]]/Merged_data!C84-1, "")</f>
        <v>4.7512945991345923E-4</v>
      </c>
      <c r="C85" s="4">
        <f>IFERROR(Merged_data[[#This Row],[AAPL_Close]]/Merged_data!B84-1,"")</f>
        <v>-2.7040155440414382E-2</v>
      </c>
      <c r="D85" s="4">
        <f t="shared" si="1"/>
        <v>-2.313717350714296E-2</v>
      </c>
    </row>
    <row r="86" spans="1:4" x14ac:dyDescent="0.25">
      <c r="A86" s="4">
        <f>IFERROR(Merged_data[[#This Row],[BTCUSD_Close]]/Merged_data!D85-1,"")</f>
        <v>4.5690022643158912E-3</v>
      </c>
      <c r="B86" s="4">
        <f>IFERROR(Merged_data[[#This Row],[XAUUSD_Close]]/Merged_data!C85-1, "")</f>
        <v>-1.347903908269843E-2</v>
      </c>
      <c r="C86" s="4">
        <f>IFERROR(Merged_data[[#This Row],[AAPL_Close]]/Merged_data!B85-1,"")</f>
        <v>-1.273090364453322E-2</v>
      </c>
      <c r="D86" s="4">
        <f t="shared" si="1"/>
        <v>-7.840186047144572E-3</v>
      </c>
    </row>
    <row r="87" spans="1:4" x14ac:dyDescent="0.25">
      <c r="A87" s="4">
        <f>IFERROR(Merged_data[[#This Row],[BTCUSD_Close]]/Merged_data!D86-1,"")</f>
        <v>-5.6285422170214705E-3</v>
      </c>
      <c r="B87" s="4">
        <f>IFERROR(Merged_data[[#This Row],[XAUUSD_Close]]/Merged_data!C86-1, "")</f>
        <v>-7.6901152909035764E-3</v>
      </c>
      <c r="C87" s="4">
        <f>IFERROR(Merged_data[[#This Row],[AAPL_Close]]/Merged_data!B86-1,"")</f>
        <v>1.913190054782965E-2</v>
      </c>
      <c r="D87" s="4">
        <f t="shared" si="1"/>
        <v>9.7496138288102364E-4</v>
      </c>
    </row>
    <row r="88" spans="1:4" x14ac:dyDescent="0.25">
      <c r="A88" s="4">
        <f>IFERROR(Merged_data[[#This Row],[BTCUSD_Close]]/Merged_data!D87-1,"")</f>
        <v>2.9080582871637617E-2</v>
      </c>
      <c r="B88" s="4">
        <f>IFERROR(Merged_data[[#This Row],[XAUUSD_Close]]/Merged_data!C87-1, "")</f>
        <v>1.3266455220678486E-2</v>
      </c>
      <c r="C88" s="4">
        <f>IFERROR(Merged_data[[#This Row],[AAPL_Close]]/Merged_data!B87-1,"")</f>
        <v>-1.5754217664571635E-2</v>
      </c>
      <c r="D88" s="4">
        <f t="shared" si="1"/>
        <v>9.3044916503911869E-3</v>
      </c>
    </row>
    <row r="89" spans="1:4" x14ac:dyDescent="0.25">
      <c r="A89" s="4">
        <f>IFERROR(Merged_data[[#This Row],[BTCUSD_Close]]/Merged_data!D88-1,"")</f>
        <v>1.0188877132837559E-2</v>
      </c>
      <c r="B89" s="4">
        <f>IFERROR(Merged_data[[#This Row],[XAUUSD_Close]]/Merged_data!C88-1, "")</f>
        <v>8.7008524553893185E-3</v>
      </c>
      <c r="C89" s="4">
        <f>IFERROR(Merged_data[[#This Row],[AAPL_Close]]/Merged_data!B88-1,"")</f>
        <v>-8.8224173423517849E-3</v>
      </c>
      <c r="D89" s="4">
        <f t="shared" si="1"/>
        <v>3.8902789193014601E-3</v>
      </c>
    </row>
    <row r="90" spans="1:4" x14ac:dyDescent="0.25">
      <c r="A90" s="4">
        <f>IFERROR(Merged_data[[#This Row],[BTCUSD_Close]]/Merged_data!D89-1,"")</f>
        <v>3.4188268735800165E-2</v>
      </c>
      <c r="B90" s="4">
        <f>IFERROR(Merged_data[[#This Row],[XAUUSD_Close]]/Merged_data!C89-1, "")</f>
        <v>4.0438795198083355E-4</v>
      </c>
      <c r="C90" s="4">
        <f>IFERROR(Merged_data[[#This Row],[AAPL_Close]]/Merged_data!B89-1,"")</f>
        <v>-8.053236129360597E-4</v>
      </c>
      <c r="D90" s="4">
        <f t="shared" si="1"/>
        <v>1.0176638717651565E-2</v>
      </c>
    </row>
    <row r="91" spans="1:4" x14ac:dyDescent="0.25">
      <c r="A91" s="4">
        <f>IFERROR(Merged_data[[#This Row],[BTCUSD_Close]]/Merged_data!D90-1,"")</f>
        <v>-1.6517979057324439E-3</v>
      </c>
      <c r="B91" s="4">
        <f>IFERROR(Merged_data[[#This Row],[XAUUSD_Close]]/Merged_data!C90-1, "")</f>
        <v>-2.7507819003347311E-3</v>
      </c>
      <c r="C91" s="4">
        <f>IFERROR(Merged_data[[#This Row],[AAPL_Close]]/Merged_data!B90-1,"")</f>
        <v>-1.7392042080257575E-3</v>
      </c>
      <c r="D91" s="4">
        <f t="shared" si="1"/>
        <v>-2.1176133942613527E-3</v>
      </c>
    </row>
    <row r="92" spans="1:4" x14ac:dyDescent="0.25">
      <c r="A92" s="4">
        <f>IFERROR(Merged_data[[#This Row],[BTCUSD_Close]]/Merged_data!D91-1,"")</f>
        <v>-2.8715080705445817E-2</v>
      </c>
      <c r="B92" s="4">
        <f>IFERROR(Merged_data[[#This Row],[XAUUSD_Close]]/Merged_data!C91-1, "")</f>
        <v>-6.1144431391124687E-4</v>
      </c>
      <c r="C92" s="4">
        <f>IFERROR(Merged_data[[#This Row],[AAPL_Close]]/Merged_data!B91-1,"")</f>
        <v>1.589257638210162E-2</v>
      </c>
      <c r="D92" s="4">
        <f t="shared" si="1"/>
        <v>-4.0913290225677579E-3</v>
      </c>
    </row>
    <row r="93" spans="1:4" x14ac:dyDescent="0.25">
      <c r="A93" s="4">
        <f>IFERROR(Merged_data[[#This Row],[BTCUSD_Close]]/Merged_data!D92-1,"")</f>
        <v>-9.4080584142678947E-2</v>
      </c>
      <c r="B93" s="4">
        <f>IFERROR(Merged_data[[#This Row],[XAUUSD_Close]]/Merged_data!C92-1, "")</f>
        <v>-8.3798498638876229E-3</v>
      </c>
      <c r="C93" s="4">
        <f>IFERROR(Merged_data[[#This Row],[AAPL_Close]]/Merged_data!B92-1,"")</f>
        <v>-4.8479524825364995E-2</v>
      </c>
      <c r="D93" s="4">
        <f t="shared" si="1"/>
        <v>-4.6119972635968232E-2</v>
      </c>
    </row>
    <row r="94" spans="1:4" x14ac:dyDescent="0.25">
      <c r="A94" s="4">
        <f>IFERROR(Merged_data[[#This Row],[BTCUSD_Close]]/Merged_data!D93-1,"")</f>
        <v>4.6044657679416678E-2</v>
      </c>
      <c r="B94" s="4">
        <f>IFERROR(Merged_data[[#This Row],[XAUUSD_Close]]/Merged_data!C93-1, "")</f>
        <v>1.1275641425590566E-2</v>
      </c>
      <c r="C94" s="4">
        <f>IFERROR(Merged_data[[#This Row],[AAPL_Close]]/Merged_data!B93-1,"")</f>
        <v>-2.9189379286091E-2</v>
      </c>
      <c r="D94" s="4">
        <f t="shared" si="1"/>
        <v>9.5668400882339289E-3</v>
      </c>
    </row>
    <row r="95" spans="1:4" x14ac:dyDescent="0.25">
      <c r="A95" s="4">
        <f>IFERROR(Merged_data[[#This Row],[BTCUSD_Close]]/Merged_data!D94-1,"")</f>
        <v>6.2891265610016678E-3</v>
      </c>
      <c r="B95" s="4">
        <f>IFERROR(Merged_data[[#This Row],[XAUUSD_Close]]/Merged_data!C94-1, "")</f>
        <v>7.0779534603135907E-3</v>
      </c>
      <c r="C95" s="4">
        <f>IFERROR(Merged_data[[#This Row],[AAPL_Close]]/Merged_data!B94-1,"")</f>
        <v>-1.7478717623618967E-2</v>
      </c>
      <c r="D95" s="4">
        <f t="shared" si="1"/>
        <v>-5.2569593465975287E-4</v>
      </c>
    </row>
    <row r="96" spans="1:4" x14ac:dyDescent="0.25">
      <c r="A96" s="4">
        <f>IFERROR(Merged_data[[#This Row],[BTCUSD_Close]]/Merged_data!D95-1,"")</f>
        <v>-2.716705087858573E-2</v>
      </c>
      <c r="B96" s="4">
        <f>IFERROR(Merged_data[[#This Row],[XAUUSD_Close]]/Merged_data!C95-1, "")</f>
        <v>1.6733261633130825E-2</v>
      </c>
      <c r="C96" s="4">
        <f>IFERROR(Merged_data[[#This Row],[AAPL_Close]]/Merged_data!B95-1,"")</f>
        <v>-3.364365379297618E-2</v>
      </c>
      <c r="D96" s="4">
        <f t="shared" si="1"/>
        <v>-1.1549906748216241E-2</v>
      </c>
    </row>
    <row r="97" spans="1:4" x14ac:dyDescent="0.25">
      <c r="A97" s="4">
        <f>IFERROR(Merged_data[[#This Row],[BTCUSD_Close]]/Merged_data!D96-1,"")</f>
        <v>3.4230841556838865E-2</v>
      </c>
      <c r="B97" s="4">
        <f>IFERROR(Merged_data[[#This Row],[XAUUSD_Close]]/Merged_data!C96-1, "")</f>
        <v>-7.6322462403644042E-4</v>
      </c>
      <c r="C97" s="4">
        <f>IFERROR(Merged_data[[#This Row],[AAPL_Close]]/Merged_data!B96-1,"")</f>
        <v>1.8170545593285015E-2</v>
      </c>
      <c r="D97" s="4">
        <f t="shared" si="1"/>
        <v>1.5415126295422587E-2</v>
      </c>
    </row>
    <row r="98" spans="1:4" x14ac:dyDescent="0.25">
      <c r="A98" s="4">
        <f>IFERROR(Merged_data[[#This Row],[BTCUSD_Close]]/Merged_data!D97-1,"")</f>
        <v>-1.0921311888423268E-3</v>
      </c>
      <c r="B98" s="4">
        <f>IFERROR(Merged_data[[#This Row],[XAUUSD_Close]]/Merged_data!C97-1, "")</f>
        <v>5.1054506715977332E-3</v>
      </c>
      <c r="C98" s="4">
        <f>IFERROR(Merged_data[[#This Row],[AAPL_Close]]/Merged_data!B97-1,"")</f>
        <v>2.3888706730994524E-3</v>
      </c>
      <c r="D98" s="4">
        <f t="shared" si="1"/>
        <v>2.431202113916231E-3</v>
      </c>
    </row>
    <row r="99" spans="1:4" x14ac:dyDescent="0.25">
      <c r="A99" s="4">
        <f>IFERROR(Merged_data[[#This Row],[BTCUSD_Close]]/Merged_data!D98-1,"")</f>
        <v>-2.0049848017083982E-2</v>
      </c>
      <c r="B99" s="4">
        <f>IFERROR(Merged_data[[#This Row],[XAUUSD_Close]]/Merged_data!C98-1, "")</f>
        <v>1.1420581711404143E-2</v>
      </c>
      <c r="C99" s="4">
        <f>IFERROR(Merged_data[[#This Row],[AAPL_Close]]/Merged_data!B98-1,"")</f>
        <v>-6.1214953271028216E-3</v>
      </c>
      <c r="D99" s="4">
        <f t="shared" si="1"/>
        <v>-3.2831703186943827E-3</v>
      </c>
    </row>
    <row r="100" spans="1:4" x14ac:dyDescent="0.25">
      <c r="A100" s="4">
        <f>IFERROR(Merged_data[[#This Row],[BTCUSD_Close]]/Merged_data!D99-1,"")</f>
        <v>4.5874600280198408E-2</v>
      </c>
      <c r="B100" s="4">
        <f>IFERROR(Merged_data[[#This Row],[XAUUSD_Close]]/Merged_data!C99-1, "")</f>
        <v>5.1605674646981736E-3</v>
      </c>
      <c r="C100" s="4">
        <f>IFERROR(Merged_data[[#This Row],[AAPL_Close]]/Merged_data!B99-1,"")</f>
        <v>1.1989280173021921E-2</v>
      </c>
      <c r="D100" s="4">
        <f t="shared" si="1"/>
        <v>1.9423391121845365E-2</v>
      </c>
    </row>
    <row r="101" spans="1:4" x14ac:dyDescent="0.25">
      <c r="A101" s="4">
        <f>IFERROR(Merged_data[[#This Row],[BTCUSD_Close]]/Merged_data!D100-1,"")</f>
        <v>-2.3865655858635426E-2</v>
      </c>
      <c r="B101" s="4">
        <f>IFERROR(Merged_data[[#This Row],[XAUUSD_Close]]/Merged_data!C100-1, "")</f>
        <v>-1.4425236295205757E-3</v>
      </c>
      <c r="C101" s="4">
        <f>IFERROR(Merged_data[[#This Row],[AAPL_Close]]/Merged_data!B100-1,"")</f>
        <v>-5.2964133060769969E-3</v>
      </c>
      <c r="D101" s="4">
        <f t="shared" si="1"/>
        <v>-9.3256302012219572E-3</v>
      </c>
    </row>
    <row r="102" spans="1:4" x14ac:dyDescent="0.25">
      <c r="A102" s="4">
        <f>IFERROR(Merged_data[[#This Row],[BTCUSD_Close]]/Merged_data!D101-1,"")</f>
        <v>9.263564462635987E-4</v>
      </c>
      <c r="B102" s="4">
        <f>IFERROR(Merged_data[[#This Row],[XAUUSD_Close]]/Merged_data!C101-1, "")</f>
        <v>-7.2131879532866261E-3</v>
      </c>
      <c r="C102" s="4">
        <f>IFERROR(Merged_data[[#This Row],[AAPL_Close]]/Merged_data!B101-1,"")</f>
        <v>1.9476879962634364E-2</v>
      </c>
      <c r="D102" s="4">
        <f t="shared" si="1"/>
        <v>3.2356957413547383E-3</v>
      </c>
    </row>
    <row r="103" spans="1:4" x14ac:dyDescent="0.25">
      <c r="A103" s="4">
        <f>IFERROR(Merged_data[[#This Row],[BTCUSD_Close]]/Merged_data!D102-1,"")</f>
        <v>3.8804430990319716E-2</v>
      </c>
      <c r="B103" s="4">
        <f>IFERROR(Merged_data[[#This Row],[XAUUSD_Close]]/Merged_data!C102-1, "")</f>
        <v>-4.061061431821833E-3</v>
      </c>
      <c r="C103" s="4">
        <f>IFERROR(Merged_data[[#This Row],[AAPL_Close]]/Merged_data!B102-1,"")</f>
        <v>1.1270444861868123E-2</v>
      </c>
      <c r="D103" s="4">
        <f t="shared" si="1"/>
        <v>1.3398038182927619E-2</v>
      </c>
    </row>
    <row r="104" spans="1:4" x14ac:dyDescent="0.25">
      <c r="A104" s="4">
        <f>IFERROR(Merged_data[[#This Row],[BTCUSD_Close]]/Merged_data!D103-1,"")</f>
        <v>6.3817377082941995E-4</v>
      </c>
      <c r="B104" s="4">
        <f>IFERROR(Merged_data[[#This Row],[XAUUSD_Close]]/Merged_data!C103-1, "")</f>
        <v>3.2740506581308004E-3</v>
      </c>
      <c r="C104" s="4">
        <f>IFERROR(Merged_data[[#This Row],[AAPL_Close]]/Merged_data!B103-1,"")</f>
        <v>1.3681873782449117E-2</v>
      </c>
      <c r="D104" s="4">
        <f t="shared" si="1"/>
        <v>5.6056345292358808E-3</v>
      </c>
    </row>
    <row r="105" spans="1:4" x14ac:dyDescent="0.25">
      <c r="A105" s="4">
        <f>IFERROR(Merged_data[[#This Row],[BTCUSD_Close]]/Merged_data!D104-1,"")</f>
        <v>-7.5286194978329002E-3</v>
      </c>
      <c r="B105" s="4">
        <f>IFERROR(Merged_data[[#This Row],[XAUUSD_Close]]/Merged_data!C104-1, "")</f>
        <v>-6.9503743273024998E-4</v>
      </c>
      <c r="C105" s="4">
        <f>IFERROR(Merged_data[[#This Row],[AAPL_Close]]/Merged_data!B104-1,"")</f>
        <v>-9.921787709497254E-3</v>
      </c>
      <c r="D105" s="4">
        <f t="shared" si="1"/>
        <v>-5.5131371352911459E-3</v>
      </c>
    </row>
    <row r="106" spans="1:4" x14ac:dyDescent="0.25">
      <c r="A106" s="4">
        <f>IFERROR(Merged_data[[#This Row],[BTCUSD_Close]]/Merged_data!D105-1,"")</f>
        <v>6.0022502680399104E-3</v>
      </c>
      <c r="B106" s="4">
        <f>IFERROR(Merged_data[[#This Row],[XAUUSD_Close]]/Merged_data!C105-1, "")</f>
        <v>1.189009445835465E-2</v>
      </c>
      <c r="C106" s="4">
        <f>IFERROR(Merged_data[[#This Row],[AAPL_Close]]/Merged_data!B105-1,"")</f>
        <v>1.047262221820966E-2</v>
      </c>
      <c r="D106" s="4">
        <f t="shared" si="1"/>
        <v>9.6984995292167305E-3</v>
      </c>
    </row>
    <row r="107" spans="1:4" x14ac:dyDescent="0.25">
      <c r="A107" s="4">
        <f>IFERROR(Merged_data[[#This Row],[BTCUSD_Close]]/Merged_data!D106-1,"")</f>
        <v>-4.1135454860781295E-2</v>
      </c>
      <c r="B107" s="4">
        <f>IFERROR(Merged_data[[#This Row],[XAUUSD_Close]]/Merged_data!C106-1, "")</f>
        <v>9.8290794116300262E-3</v>
      </c>
      <c r="C107" s="4">
        <f>IFERROR(Merged_data[[#This Row],[AAPL_Close]]/Merged_data!B106-1,"")</f>
        <v>-2.6580299307571997E-2</v>
      </c>
      <c r="D107" s="4">
        <f t="shared" si="1"/>
        <v>-1.6383094485853976E-2</v>
      </c>
    </row>
    <row r="108" spans="1:4" x14ac:dyDescent="0.25">
      <c r="A108" s="4">
        <f>IFERROR(Merged_data[[#This Row],[BTCUSD_Close]]/Merged_data!D107-1,"")</f>
        <v>-1.4837294760505548E-2</v>
      </c>
      <c r="B108" s="4">
        <f>IFERROR(Merged_data[[#This Row],[XAUUSD_Close]]/Merged_data!C107-1, "")</f>
        <v>1.232477108824237E-2</v>
      </c>
      <c r="C108" s="4">
        <f>IFERROR(Merged_data[[#This Row],[AAPL_Close]]/Merged_data!B107-1,"")</f>
        <v>1.9412574575493391E-2</v>
      </c>
      <c r="D108" s="4">
        <f t="shared" si="1"/>
        <v>6.3024923797933008E-3</v>
      </c>
    </row>
    <row r="109" spans="1:4" x14ac:dyDescent="0.25">
      <c r="A109" s="4">
        <f>IFERROR(Merged_data[[#This Row],[BTCUSD_Close]]/Merged_data!D108-1,"")</f>
        <v>3.2204665344144567E-2</v>
      </c>
      <c r="B109" s="4">
        <f>IFERROR(Merged_data[[#This Row],[XAUUSD_Close]]/Merged_data!C108-1, "")</f>
        <v>-2.8543756153396327E-3</v>
      </c>
      <c r="C109" s="4">
        <f>IFERROR(Merged_data[[#This Row],[AAPL_Close]]/Merged_data!B108-1,"")</f>
        <v>4.7719803718542231E-3</v>
      </c>
      <c r="D109" s="4">
        <f t="shared" si="1"/>
        <v>9.9512434686637834E-3</v>
      </c>
    </row>
    <row r="110" spans="1:4" x14ac:dyDescent="0.25">
      <c r="A110" s="4">
        <f>IFERROR(Merged_data[[#This Row],[BTCUSD_Close]]/Merged_data!D109-1,"")</f>
        <v>-4.5106285059512974E-3</v>
      </c>
      <c r="B110" s="4">
        <f>IFERROR(Merged_data[[#This Row],[XAUUSD_Close]]/Merged_data!C109-1, "")</f>
        <v>6.8087825428018167E-3</v>
      </c>
      <c r="C110" s="4">
        <f>IFERROR(Merged_data[[#This Row],[AAPL_Close]]/Merged_data!B109-1,"")</f>
        <v>3.1363412339262542E-3</v>
      </c>
      <c r="D110" s="4">
        <f t="shared" si="1"/>
        <v>2.3112268355132137E-3</v>
      </c>
    </row>
    <row r="111" spans="1:4" x14ac:dyDescent="0.25">
      <c r="A111" s="4">
        <f>IFERROR(Merged_data[[#This Row],[BTCUSD_Close]]/Merged_data!D110-1,"")</f>
        <v>-2.4814723961109619E-2</v>
      </c>
      <c r="B111" s="4">
        <f>IFERROR(Merged_data[[#This Row],[XAUUSD_Close]]/Merged_data!C110-1, "")</f>
        <v>-6.643140869348918E-3</v>
      </c>
      <c r="C111" s="4">
        <f>IFERROR(Merged_data[[#This Row],[AAPL_Close]]/Merged_data!B110-1,"")</f>
        <v>-9.2456116843092517E-2</v>
      </c>
      <c r="D111" s="4">
        <f t="shared" si="1"/>
        <v>-3.7838508589000203E-2</v>
      </c>
    </row>
    <row r="112" spans="1:4" x14ac:dyDescent="0.25">
      <c r="A112" s="4">
        <f>IFERROR(Merged_data[[#This Row],[BTCUSD_Close]]/Merged_data!D111-1,"")</f>
        <v>1.6063941331482257E-2</v>
      </c>
      <c r="B112" s="4">
        <f>IFERROR(Merged_data[[#This Row],[XAUUSD_Close]]/Merged_data!C111-1, "")</f>
        <v>-2.5154627921797457E-2</v>
      </c>
      <c r="C112" s="4">
        <f>IFERROR(Merged_data[[#This Row],[AAPL_Close]]/Merged_data!B111-1,"")</f>
        <v>-7.2887445248289828E-2</v>
      </c>
      <c r="D112" s="4">
        <f t="shared" si="1"/>
        <v>-2.7108902343761253E-2</v>
      </c>
    </row>
    <row r="113" spans="1:4" x14ac:dyDescent="0.25">
      <c r="A113" s="4">
        <f>IFERROR(Merged_data[[#This Row],[BTCUSD_Close]]/Merged_data!D112-1,"")</f>
        <v>-5.7414844209358606E-2</v>
      </c>
      <c r="B113" s="4">
        <f>IFERROR(Merged_data[[#This Row],[XAUUSD_Close]]/Merged_data!C112-1, "")</f>
        <v>-1.7504367858489633E-2</v>
      </c>
      <c r="C113" s="4">
        <f>IFERROR(Merged_data[[#This Row],[AAPL_Close]]/Merged_data!B112-1,"")</f>
        <v>-3.673426053721196E-2</v>
      </c>
      <c r="D113" s="4">
        <f t="shared" si="1"/>
        <v>-3.5246478567367026E-2</v>
      </c>
    </row>
    <row r="114" spans="1:4" x14ac:dyDescent="0.25">
      <c r="A114" s="4">
        <f>IFERROR(Merged_data[[#This Row],[BTCUSD_Close]]/Merged_data!D113-1,"")</f>
        <v>-2.7479770888262478E-2</v>
      </c>
      <c r="B114" s="4">
        <f>IFERROR(Merged_data[[#This Row],[XAUUSD_Close]]/Merged_data!C113-1, "")</f>
        <v>-1.340826317739463E-4</v>
      </c>
      <c r="C114" s="4">
        <f>IFERROR(Merged_data[[#This Row],[AAPL_Close]]/Merged_data!B113-1,"")</f>
        <v>-4.9818141739226385E-2</v>
      </c>
      <c r="D114" s="4">
        <f t="shared" si="1"/>
        <v>-2.3243006840956239E-2</v>
      </c>
    </row>
    <row r="115" spans="1:4" x14ac:dyDescent="0.25">
      <c r="A115" s="4">
        <f>IFERROR(Merged_data[[#This Row],[BTCUSD_Close]]/Merged_data!D114-1,"")</f>
        <v>8.1296759399921426E-2</v>
      </c>
      <c r="B115" s="4">
        <f>IFERROR(Merged_data[[#This Row],[XAUUSD_Close]]/Merged_data!C114-1, "")</f>
        <v>3.3560354494968747E-2</v>
      </c>
      <c r="C115" s="4">
        <f>IFERROR(Merged_data[[#This Row],[AAPL_Close]]/Merged_data!B114-1,"")</f>
        <v>0.15328848161466202</v>
      </c>
      <c r="D115" s="4">
        <f t="shared" si="1"/>
        <v>8.3799714102362532E-2</v>
      </c>
    </row>
    <row r="116" spans="1:4" x14ac:dyDescent="0.25">
      <c r="A116" s="4">
        <f>IFERROR(Merged_data[[#This Row],[BTCUSD_Close]]/Merged_data!D115-1,"")</f>
        <v>-4.3294851689165692E-2</v>
      </c>
      <c r="B116" s="4">
        <f>IFERROR(Merged_data[[#This Row],[XAUUSD_Close]]/Merged_data!C115-1, "")</f>
        <v>3.0057347856267125E-2</v>
      </c>
      <c r="C116" s="4">
        <f>IFERROR(Merged_data[[#This Row],[AAPL_Close]]/Merged_data!B115-1,"")</f>
        <v>-4.2393764143827006E-2</v>
      </c>
      <c r="D116" s="4">
        <f t="shared" si="1"/>
        <v>-1.368364560739096E-2</v>
      </c>
    </row>
    <row r="117" spans="1:4" x14ac:dyDescent="0.25">
      <c r="A117" s="4">
        <f>IFERROR(Merged_data[[#This Row],[BTCUSD_Close]]/Merged_data!D116-1,"")</f>
        <v>5.2678283418452931E-2</v>
      </c>
      <c r="B117" s="4">
        <f>IFERROR(Merged_data[[#This Row],[XAUUSD_Close]]/Merged_data!C116-1, "")</f>
        <v>1.7437622122398633E-2</v>
      </c>
      <c r="C117" s="4">
        <f>IFERROR(Merged_data[[#This Row],[AAPL_Close]]/Merged_data!B116-1,"")</f>
        <v>4.0594475370234306E-2</v>
      </c>
      <c r="D117" s="4">
        <f t="shared" si="1"/>
        <v>3.495687648556562E-2</v>
      </c>
    </row>
    <row r="118" spans="1:4" x14ac:dyDescent="0.25">
      <c r="A118" s="4">
        <f>IFERROR(Merged_data[[#This Row],[BTCUSD_Close]]/Merged_data!D117-1,"")</f>
        <v>1.0158663539578949E-2</v>
      </c>
      <c r="B118" s="4">
        <f>IFERROR(Merged_data[[#This Row],[XAUUSD_Close]]/Merged_data!C117-1, "")</f>
        <v>-6.2751858569226604E-3</v>
      </c>
      <c r="C118" s="4">
        <f>IFERROR(Merged_data[[#This Row],[AAPL_Close]]/Merged_data!B117-1,"")</f>
        <v>2.2053999495331933E-2</v>
      </c>
      <c r="D118" s="4">
        <f t="shared" si="1"/>
        <v>7.1537245677042007E-3</v>
      </c>
    </row>
    <row r="119" spans="1:4" x14ac:dyDescent="0.25">
      <c r="A119" s="4">
        <f>IFERROR(Merged_data[[#This Row],[BTCUSD_Close]]/Merged_data!D118-1,"")</f>
        <v>-6.0126556131694375E-3</v>
      </c>
      <c r="B119" s="4">
        <f>IFERROR(Merged_data[[#This Row],[XAUUSD_Close]]/Merged_data!C118-1, "")</f>
        <v>6.0298283398818597E-3</v>
      </c>
      <c r="C119" s="4">
        <f>IFERROR(Merged_data[[#This Row],[AAPL_Close]]/Merged_data!B118-1,"")</f>
        <v>-1.8763578905788281E-3</v>
      </c>
      <c r="D119" s="4">
        <f t="shared" si="1"/>
        <v>4.5227284828264279E-5</v>
      </c>
    </row>
    <row r="120" spans="1:4" x14ac:dyDescent="0.25">
      <c r="A120" s="4">
        <f>IFERROR(Merged_data[[#This Row],[BTCUSD_Close]]/Merged_data!D119-1,"")</f>
        <v>3.549379600745306E-3</v>
      </c>
      <c r="B120" s="4">
        <f>IFERROR(Merged_data[[#This Row],[XAUUSD_Close]]/Merged_data!C119-1, "")</f>
        <v>3.498072020222498E-2</v>
      </c>
      <c r="C120" s="4">
        <f>IFERROR(Merged_data[[#This Row],[AAPL_Close]]/Merged_data!B119-1,"")</f>
        <v>-3.893341248639548E-2</v>
      </c>
      <c r="D120" s="4">
        <f t="shared" si="1"/>
        <v>3.3770782151949404E-3</v>
      </c>
    </row>
    <row r="121" spans="1:4" x14ac:dyDescent="0.25">
      <c r="A121" s="4">
        <f>IFERROR(Merged_data[[#This Row],[BTCUSD_Close]]/Merged_data!D120-1,"")</f>
        <v>6.6180890489737632E-3</v>
      </c>
      <c r="B121" s="4">
        <f>IFERROR(Merged_data[[#This Row],[XAUUSD_Close]]/Merged_data!C120-1, "")</f>
        <v>-4.6933119556812342E-3</v>
      </c>
      <c r="C121" s="4">
        <f>IFERROR(Merged_data[[#This Row],[AAPL_Close]]/Merged_data!B120-1,"")</f>
        <v>1.3949657692901463E-2</v>
      </c>
      <c r="D121" s="4">
        <f t="shared" si="1"/>
        <v>4.292999240290073E-3</v>
      </c>
    </row>
    <row r="122" spans="1:4" x14ac:dyDescent="0.25">
      <c r="A122" s="4">
        <f>IFERROR(Merged_data[[#This Row],[BTCUSD_Close]]/Merged_data!D121-1,"")</f>
        <v>2.6029121865379201E-2</v>
      </c>
      <c r="B122" s="4">
        <f>IFERROR(Merged_data[[#This Row],[XAUUSD_Close]]/Merged_data!C121-1, "")</f>
        <v>2.9164218533283881E-2</v>
      </c>
      <c r="C122" s="4">
        <f>IFERROR(Merged_data[[#This Row],[AAPL_Close]]/Merged_data!B121-1,"")</f>
        <v>-1.9392831759569518E-2</v>
      </c>
      <c r="D122" s="4">
        <f t="shared" si="1"/>
        <v>1.3656574445056458E-2</v>
      </c>
    </row>
    <row r="123" spans="1:4" x14ac:dyDescent="0.25">
      <c r="A123" s="4">
        <f>IFERROR(Merged_data[[#This Row],[BTCUSD_Close]]/Merged_data!D122-1,"")</f>
        <v>6.5599351086792268E-2</v>
      </c>
      <c r="B123" s="4">
        <f>IFERROR(Merged_data[[#This Row],[XAUUSD_Close]]/Merged_data!C122-1, "")</f>
        <v>-1.2628471223468107E-2</v>
      </c>
      <c r="C123" s="4">
        <f>IFERROR(Merged_data[[#This Row],[AAPL_Close]]/Merged_data!B122-1,"")</f>
        <v>3.406502381445442E-2</v>
      </c>
      <c r="D123" s="4">
        <f t="shared" si="1"/>
        <v>2.4847923980986765E-2</v>
      </c>
    </row>
    <row r="124" spans="1:4" x14ac:dyDescent="0.25">
      <c r="A124" s="4">
        <f>IFERROR(Merged_data[[#This Row],[BTCUSD_Close]]/Merged_data!D123-1,"")</f>
        <v>5.4144599194496656E-3</v>
      </c>
      <c r="B124" s="4">
        <f>IFERROR(Merged_data[[#This Row],[XAUUSD_Close]]/Merged_data!C123-1, "")</f>
        <v>-2.7455074589785688E-2</v>
      </c>
      <c r="C124" s="4">
        <f>IFERROR(Merged_data[[#This Row],[AAPL_Close]]/Merged_data!B123-1,"")</f>
        <v>2.4331631120456443E-2</v>
      </c>
      <c r="D124" s="4">
        <f t="shared" si="1"/>
        <v>-2.0582025239424444E-3</v>
      </c>
    </row>
    <row r="125" spans="1:4" x14ac:dyDescent="0.25">
      <c r="A125" s="4">
        <f>IFERROR(Merged_data[[#This Row],[BTCUSD_Close]]/Merged_data!D124-1,"")</f>
        <v>-1.4094176474488407E-3</v>
      </c>
      <c r="B125" s="4">
        <f>IFERROR(Merged_data[[#This Row],[XAUUSD_Close]]/Merged_data!C124-1, "")</f>
        <v>1.8631037639166292E-2</v>
      </c>
      <c r="C125" s="4">
        <f>IFERROR(Merged_data[[#This Row],[AAPL_Close]]/Merged_data!B124-1,"")</f>
        <v>1.842619745845564E-2</v>
      </c>
      <c r="D125" s="4">
        <f t="shared" si="1"/>
        <v>1.2557448998968556E-2</v>
      </c>
    </row>
    <row r="126" spans="1:4" x14ac:dyDescent="0.25">
      <c r="A126" s="4">
        <f>IFERROR(Merged_data[[#This Row],[BTCUSD_Close]]/Merged_data!D125-1,"")</f>
        <v>2.0896960870403269E-2</v>
      </c>
      <c r="B126" s="4">
        <f>IFERROR(Merged_data[[#This Row],[XAUUSD_Close]]/Merged_data!C125-1, "")</f>
        <v>-1.331802800039994E-2</v>
      </c>
      <c r="C126" s="4">
        <f>IFERROR(Merged_data[[#This Row],[AAPL_Close]]/Merged_data!B125-1,"")</f>
        <v>4.367231367279345E-3</v>
      </c>
      <c r="D126" s="4">
        <f t="shared" si="1"/>
        <v>2.2520464711448078E-3</v>
      </c>
    </row>
    <row r="127" spans="1:4" x14ac:dyDescent="0.25">
      <c r="A127" s="4">
        <f>IFERROR(Merged_data[[#This Row],[BTCUSD_Close]]/Merged_data!D126-1,"")</f>
        <v>-8.3108333490674591E-3</v>
      </c>
      <c r="B127" s="4">
        <f>IFERROR(Merged_data[[#This Row],[XAUUSD_Close]]/Merged_data!C126-1, "")</f>
        <v>1.1770098805289564E-2</v>
      </c>
      <c r="C127" s="4">
        <f>IFERROR(Merged_data[[#This Row],[AAPL_Close]]/Merged_data!B126-1,"")</f>
        <v>4.1093272171253137E-3</v>
      </c>
      <c r="D127" s="4">
        <f t="shared" si="1"/>
        <v>3.447587682533183E-3</v>
      </c>
    </row>
    <row r="128" spans="1:4" x14ac:dyDescent="0.25">
      <c r="A128" s="4">
        <f>IFERROR(Merged_data[[#This Row],[BTCUSD_Close]]/Merged_data!D127-1,"")</f>
        <v>1.9610518599846305E-3</v>
      </c>
      <c r="B128" s="4">
        <f>IFERROR(Merged_data[[#This Row],[XAUUSD_Close]]/Merged_data!C127-1, "")</f>
        <v>-7.9667811542563083E-3</v>
      </c>
      <c r="C128" s="4">
        <f>IFERROR(Merged_data[[#This Row],[AAPL_Close]]/Merged_data!B127-1,"")</f>
        <v>5.0918435328828338E-3</v>
      </c>
      <c r="D128" s="4">
        <f t="shared" si="1"/>
        <v>-1.0708438438422844E-3</v>
      </c>
    </row>
    <row r="129" spans="1:4" x14ac:dyDescent="0.25">
      <c r="A129" s="4">
        <f>IFERROR(Merged_data[[#This Row],[BTCUSD_Close]]/Merged_data!D128-1,"")</f>
        <v>-3.4457094899525975E-3</v>
      </c>
      <c r="B129" s="4">
        <f>IFERROR(Merged_data[[#This Row],[XAUUSD_Close]]/Merged_data!C128-1, "")</f>
        <v>-8.6954686795819303E-3</v>
      </c>
      <c r="C129" s="4">
        <f>IFERROR(Merged_data[[#This Row],[AAPL_Close]]/Merged_data!B128-1,"")</f>
        <v>6.1076653567539996E-3</v>
      </c>
      <c r="D129" s="4">
        <f t="shared" si="1"/>
        <v>-2.6796007117923515E-3</v>
      </c>
    </row>
    <row r="130" spans="1:4" x14ac:dyDescent="0.25">
      <c r="A130" s="4">
        <f>IFERROR(Merged_data[[#This Row],[BTCUSD_Close]]/Merged_data!D129-1,"")</f>
        <v>2.1770104057093009E-2</v>
      </c>
      <c r="B130" s="4">
        <f>IFERROR(Merged_data[[#This Row],[XAUUSD_Close]]/Merged_data!C129-1, "")</f>
        <v>-1.5037708307991782E-2</v>
      </c>
      <c r="C130" s="4">
        <f>IFERROR(Merged_data[[#This Row],[AAPL_Close]]/Merged_data!B129-1,"")</f>
        <v>3.8588235294116924E-3</v>
      </c>
      <c r="D130" s="4">
        <f t="shared" si="1"/>
        <v>1.6735949527546972E-3</v>
      </c>
    </row>
    <row r="131" spans="1:4" x14ac:dyDescent="0.25">
      <c r="A131" s="4">
        <f>IFERROR(Merged_data[[#This Row],[BTCUSD_Close]]/Merged_data!D130-1,"")</f>
        <v>4.9826240575936431E-3</v>
      </c>
      <c r="B131" s="4">
        <f>IFERROR(Merged_data[[#This Row],[XAUUSD_Close]]/Merged_data!C130-1, "")</f>
        <v>-1.6301579215485251E-3</v>
      </c>
      <c r="C131" s="4">
        <f>IFERROR(Merged_data[[#This Row],[AAPL_Close]]/Merged_data!B130-1,"")</f>
        <v>-3.7361710106881718E-2</v>
      </c>
      <c r="D131" s="4">
        <f t="shared" si="1"/>
        <v>-1.0365788983405833E-2</v>
      </c>
    </row>
    <row r="132" spans="1:4" x14ac:dyDescent="0.25">
      <c r="A132" s="4">
        <f>IFERROR(Merged_data[[#This Row],[BTCUSD_Close]]/Merged_data!D131-1,"")</f>
        <v>-2.3438193113380246E-2</v>
      </c>
      <c r="B132" s="4">
        <f>IFERROR(Merged_data[[#This Row],[XAUUSD_Close]]/Merged_data!C131-1, "")</f>
        <v>3.1000380372765202E-2</v>
      </c>
      <c r="C132" s="4">
        <f>IFERROR(Merged_data[[#This Row],[AAPL_Close]]/Merged_data!B131-1,"")</f>
        <v>-3.1458485512539602E-2</v>
      </c>
      <c r="D132" s="4">
        <f t="shared" ref="D132:D195" si="2">SUMPRODUCT(A132:C132,$I$2:$K$2)</f>
        <v>-4.0688514386698722E-3</v>
      </c>
    </row>
    <row r="133" spans="1:4" x14ac:dyDescent="0.25">
      <c r="A133" s="4">
        <f>IFERROR(Merged_data[[#This Row],[BTCUSD_Close]]/Merged_data!D132-1,"")</f>
        <v>1.700755727109815E-4</v>
      </c>
      <c r="B133" s="4">
        <f>IFERROR(Merged_data[[#This Row],[XAUUSD_Close]]/Merged_data!C132-1, "")</f>
        <v>2.9349878446211175E-2</v>
      </c>
      <c r="C133" s="4">
        <f>IFERROR(Merged_data[[#This Row],[AAPL_Close]]/Merged_data!B132-1,"")</f>
        <v>-1.9106038513750923E-3</v>
      </c>
      <c r="D133" s="4">
        <f t="shared" si="2"/>
        <v>1.1217792894885238E-2</v>
      </c>
    </row>
    <row r="134" spans="1:4" x14ac:dyDescent="0.25">
      <c r="A134" s="4">
        <f>IFERROR(Merged_data[[#This Row],[BTCUSD_Close]]/Merged_data!D133-1,"")</f>
        <v>2.5785832050942314E-2</v>
      </c>
      <c r="B134" s="4">
        <f>IFERROR(Merged_data[[#This Row],[XAUUSD_Close]]/Merged_data!C133-1, "")</f>
        <v>-1.9605072025619341E-2</v>
      </c>
      <c r="C134" s="4">
        <f>IFERROR(Merged_data[[#This Row],[AAPL_Close]]/Merged_data!B133-1,"")</f>
        <v>-1.1384816885799176E-2</v>
      </c>
      <c r="D134" s="4">
        <f t="shared" si="2"/>
        <v>-3.5217242607047949E-3</v>
      </c>
    </row>
    <row r="135" spans="1:4" x14ac:dyDescent="0.25">
      <c r="A135" s="4">
        <f>IFERROR(Merged_data[[#This Row],[BTCUSD_Close]]/Merged_data!D134-1,"")</f>
        <v>5.8243660247546014E-2</v>
      </c>
      <c r="B135" s="4">
        <f>IFERROR(Merged_data[[#This Row],[XAUUSD_Close]]/Merged_data!C134-1, "")</f>
        <v>-1.752868566808885E-2</v>
      </c>
      <c r="C135" s="4">
        <f>IFERROR(Merged_data[[#This Row],[AAPL_Close]]/Merged_data!B134-1,"")</f>
        <v>6.3184713375796786E-3</v>
      </c>
      <c r="D135" s="4">
        <f t="shared" si="2"/>
        <v>1.2357165208302167E-2</v>
      </c>
    </row>
    <row r="136" spans="1:4" x14ac:dyDescent="0.25">
      <c r="A136" s="4">
        <f>IFERROR(Merged_data[[#This Row],[BTCUSD_Close]]/Merged_data!D135-1,"")</f>
        <v>3.9502617291637954E-3</v>
      </c>
      <c r="B136" s="4">
        <f>IFERROR(Merged_data[[#This Row],[XAUUSD_Close]]/Merged_data!C135-1, "")</f>
        <v>7.0896775384130528E-3</v>
      </c>
      <c r="C136" s="4">
        <f>IFERROR(Merged_data[[#This Row],[AAPL_Close]]/Merged_data!B135-1,"")</f>
        <v>5.2660894222491539E-3</v>
      </c>
      <c r="D136" s="4">
        <f t="shared" si="2"/>
        <v>5.6007763607891061E-3</v>
      </c>
    </row>
    <row r="137" spans="1:4" x14ac:dyDescent="0.25">
      <c r="A137" s="4">
        <f>IFERROR(Merged_data[[#This Row],[BTCUSD_Close]]/Merged_data!D136-1,"")</f>
        <v>-6.8033803690494832E-3</v>
      </c>
      <c r="B137" s="4">
        <f>IFERROR(Merged_data[[#This Row],[XAUUSD_Close]]/Merged_data!C136-1, "")</f>
        <v>-2.7945790633368883E-2</v>
      </c>
      <c r="C137" s="4">
        <f>IFERROR(Merged_data[[#This Row],[AAPL_Close]]/Merged_data!B136-1,"")</f>
        <v>6.1753891099581848E-2</v>
      </c>
      <c r="D137" s="4">
        <f t="shared" si="2"/>
        <v>5.3068369658121565E-3</v>
      </c>
    </row>
    <row r="138" spans="1:4" x14ac:dyDescent="0.25">
      <c r="A138" s="4">
        <f>IFERROR(Merged_data[[#This Row],[BTCUSD_Close]]/Merged_data!D137-1,"")</f>
        <v>1.8149528697722461E-2</v>
      </c>
      <c r="B138" s="4">
        <f>IFERROR(Merged_data[[#This Row],[XAUUSD_Close]]/Merged_data!C137-1, "")</f>
        <v>4.4222422406026141E-3</v>
      </c>
      <c r="C138" s="4">
        <f>IFERROR(Merged_data[[#This Row],[AAPL_Close]]/Merged_data!B137-1,"")</f>
        <v>1.0152284263959421E-2</v>
      </c>
      <c r="D138" s="4">
        <f t="shared" si="2"/>
        <v>1.025944078474561E-2</v>
      </c>
    </row>
    <row r="139" spans="1:4" x14ac:dyDescent="0.25">
      <c r="A139" s="4">
        <f>IFERROR(Merged_data[[#This Row],[BTCUSD_Close]]/Merged_data!D138-1,"")</f>
        <v>-6.9578884821068776E-3</v>
      </c>
      <c r="B139" s="4">
        <f>IFERROR(Merged_data[[#This Row],[XAUUSD_Close]]/Merged_data!C138-1, "")</f>
        <v>-2.2366143882346479E-2</v>
      </c>
      <c r="C139" s="4">
        <f>IFERROR(Merged_data[[#This Row],[AAPL_Close]]/Merged_data!B138-1,"")</f>
        <v>-2.8178274550321181E-3</v>
      </c>
      <c r="D139" s="4">
        <f t="shared" si="2"/>
        <v>-1.1879172334080292E-2</v>
      </c>
    </row>
    <row r="140" spans="1:4" x14ac:dyDescent="0.25">
      <c r="A140" s="4">
        <f>IFERROR(Merged_data[[#This Row],[BTCUSD_Close]]/Merged_data!D139-1,"")</f>
        <v>-3.1655342804199904E-3</v>
      </c>
      <c r="B140" s="4">
        <f>IFERROR(Merged_data[[#This Row],[XAUUSD_Close]]/Merged_data!C139-1, "")</f>
        <v>1.9606423857524424E-2</v>
      </c>
      <c r="C140" s="4">
        <f>IFERROR(Merged_data[[#This Row],[AAPL_Close]]/Merged_data!B139-1,"")</f>
        <v>-4.1444920642397243E-3</v>
      </c>
      <c r="D140" s="4">
        <f t="shared" si="2"/>
        <v>5.6495616396118557E-3</v>
      </c>
    </row>
    <row r="141" spans="1:4" x14ac:dyDescent="0.25">
      <c r="A141" s="4">
        <f>IFERROR(Merged_data[[#This Row],[BTCUSD_Close]]/Merged_data!D140-1,"")</f>
        <v>6.1575400821005655E-3</v>
      </c>
      <c r="B141" s="4">
        <f>IFERROR(Merged_data[[#This Row],[XAUUSD_Close]]/Merged_data!C140-1, "")</f>
        <v>-1.4621137528820882E-2</v>
      </c>
      <c r="C141" s="4">
        <f>IFERROR(Merged_data[[#This Row],[AAPL_Close]]/Merged_data!B140-1,"")</f>
        <v>-8.9855757862378205E-4</v>
      </c>
      <c r="D141" s="4">
        <f t="shared" si="2"/>
        <v>-4.2707602604853184E-3</v>
      </c>
    </row>
    <row r="142" spans="1:4" x14ac:dyDescent="0.25">
      <c r="A142" s="4">
        <f>IFERROR(Merged_data[[#This Row],[BTCUSD_Close]]/Merged_data!D141-1,"")</f>
        <v>1.4914745390862461E-2</v>
      </c>
      <c r="B142" s="4">
        <f>IFERROR(Merged_data[[#This Row],[XAUUSD_Close]]/Merged_data!C141-1, "")</f>
        <v>1.168221371606859E-2</v>
      </c>
      <c r="C142" s="4">
        <f>IFERROR(Merged_data[[#This Row],[AAPL_Close]]/Merged_data!B141-1,"")</f>
        <v>-1.1739089273880454E-2</v>
      </c>
      <c r="D142" s="4">
        <f t="shared" si="2"/>
        <v>5.6255823215220369E-3</v>
      </c>
    </row>
    <row r="143" spans="1:4" x14ac:dyDescent="0.25">
      <c r="A143" s="4">
        <f>IFERROR(Merged_data[[#This Row],[BTCUSD_Close]]/Merged_data!D142-1,"")</f>
        <v>1.0855755920890386E-2</v>
      </c>
      <c r="B143" s="4">
        <f>IFERROR(Merged_data[[#This Row],[XAUUSD_Close]]/Merged_data!C142-1, "")</f>
        <v>1.864847333621289E-2</v>
      </c>
      <c r="C143" s="4">
        <f>IFERROR(Merged_data[[#This Row],[AAPL_Close]]/Merged_data!B142-1,"")</f>
        <v>-9.196283168885877E-3</v>
      </c>
      <c r="D143" s="4">
        <f t="shared" si="2"/>
        <v>7.9572311600865087E-3</v>
      </c>
    </row>
    <row r="144" spans="1:4" x14ac:dyDescent="0.25">
      <c r="A144" s="4">
        <f>IFERROR(Merged_data[[#This Row],[BTCUSD_Close]]/Merged_data!D143-1,"")</f>
        <v>1.7229574466089526E-2</v>
      </c>
      <c r="B144" s="4">
        <f>IFERROR(Merged_data[[#This Row],[XAUUSD_Close]]/Merged_data!C143-1, "")</f>
        <v>7.7340778149443956E-3</v>
      </c>
      <c r="C144" s="4">
        <f>IFERROR(Merged_data[[#This Row],[AAPL_Close]]/Merged_data!B143-1,"")</f>
        <v>-2.3059073769699401E-2</v>
      </c>
      <c r="D144" s="4">
        <f t="shared" si="2"/>
        <v>1.3447813348947965E-3</v>
      </c>
    </row>
    <row r="145" spans="1:4" x14ac:dyDescent="0.25">
      <c r="A145" s="4">
        <f>IFERROR(Merged_data[[#This Row],[BTCUSD_Close]]/Merged_data!D144-1,"")</f>
        <v>2.2239433502987405E-2</v>
      </c>
      <c r="B145" s="4">
        <f>IFERROR(Merged_data[[#This Row],[XAUUSD_Close]]/Merged_data!C144-1, "")</f>
        <v>-6.2390097212126072E-3</v>
      </c>
      <c r="C145" s="4">
        <f>IFERROR(Merged_data[[#This Row],[AAPL_Close]]/Merged_data!B144-1,"")</f>
        <v>-3.6122519669453679E-3</v>
      </c>
      <c r="D145" s="4">
        <f t="shared" si="2"/>
        <v>3.0925505723275676E-3</v>
      </c>
    </row>
    <row r="146" spans="1:4" x14ac:dyDescent="0.25">
      <c r="A146" s="4">
        <f>IFERROR(Merged_data[[#This Row],[BTCUSD_Close]]/Merged_data!D145-1,"")</f>
        <v>-1.9590864812209063E-2</v>
      </c>
      <c r="B146" s="4">
        <f>IFERROR(Merged_data[[#This Row],[XAUUSD_Close]]/Merged_data!C145-1, "")</f>
        <v>2.0081979030243557E-2</v>
      </c>
      <c r="C146" s="4">
        <f>IFERROR(Merged_data[[#This Row],[AAPL_Close]]/Merged_data!B145-1,"")</f>
        <v>-3.0244338498212175E-2</v>
      </c>
      <c r="D146" s="4">
        <f t="shared" si="2"/>
        <v>-6.9177693810289469E-3</v>
      </c>
    </row>
    <row r="147" spans="1:4" x14ac:dyDescent="0.25">
      <c r="A147" s="4">
        <f>IFERROR(Merged_data[[#This Row],[BTCUSD_Close]]/Merged_data!D146-1,"")</f>
        <v>1.6099948480163828E-3</v>
      </c>
      <c r="B147" s="4">
        <f>IFERROR(Merged_data[[#This Row],[XAUUSD_Close]]/Merged_data!C146-1, "")</f>
        <v>-1.7913303242276579E-2</v>
      </c>
      <c r="C147" s="4">
        <f>IFERROR(Merged_data[[#This Row],[AAPL_Close]]/Merged_data!B146-1,"")</f>
        <v>2.5298304911148595E-2</v>
      </c>
      <c r="D147" s="4">
        <f t="shared" si="2"/>
        <v>9.0716863083886105E-4</v>
      </c>
    </row>
    <row r="148" spans="1:4" x14ac:dyDescent="0.25">
      <c r="A148" s="4">
        <f>IFERROR(Merged_data[[#This Row],[BTCUSD_Close]]/Merged_data!D147-1,"")</f>
        <v>-1.2207107494190406E-2</v>
      </c>
      <c r="B148" s="4">
        <f>IFERROR(Merged_data[[#This Row],[XAUUSD_Close]]/Merged_data!C147-1, "")</f>
        <v>-3.9930863254971083E-3</v>
      </c>
      <c r="C148" s="4">
        <f>IFERROR(Merged_data[[#This Row],[AAPL_Close]]/Merged_data!B147-1,"")</f>
        <v>1.0488986564105574E-3</v>
      </c>
      <c r="D148" s="4">
        <f t="shared" si="2"/>
        <v>-4.944697181532798E-3</v>
      </c>
    </row>
    <row r="149" spans="1:4" x14ac:dyDescent="0.25">
      <c r="A149" s="4">
        <f>IFERROR(Merged_data[[#This Row],[BTCUSD_Close]]/Merged_data!D148-1,"")</f>
        <v>-1.042383440888206E-2</v>
      </c>
      <c r="B149" s="4">
        <f>IFERROR(Merged_data[[#This Row],[XAUUSD_Close]]/Merged_data!C148-1, "")</f>
        <v>9.1847210287372416E-3</v>
      </c>
      <c r="C149" s="4">
        <f>IFERROR(Merged_data[[#This Row],[AAPL_Close]]/Merged_data!B148-1,"")</f>
        <v>-2.3450753417822989E-3</v>
      </c>
      <c r="D149" s="4">
        <f t="shared" si="2"/>
        <v>-1.5678451370441081E-4</v>
      </c>
    </row>
    <row r="150" spans="1:4" x14ac:dyDescent="0.25">
      <c r="A150" s="4">
        <f>IFERROR(Merged_data[[#This Row],[BTCUSD_Close]]/Merged_data!D149-1,"")</f>
        <v>-1.72616306931902E-2</v>
      </c>
      <c r="B150" s="4">
        <f>IFERROR(Merged_data[[#This Row],[XAUUSD_Close]]/Merged_data!C149-1, "")</f>
        <v>-6.8797246301676163E-3</v>
      </c>
      <c r="C150" s="4">
        <f>IFERROR(Merged_data[[#This Row],[AAPL_Close]]/Merged_data!B149-1,"")</f>
        <v>4.5011252813202951E-3</v>
      </c>
      <c r="D150" s="4">
        <f t="shared" si="2"/>
        <v>-6.5800414756280179E-3</v>
      </c>
    </row>
    <row r="151" spans="1:4" x14ac:dyDescent="0.25">
      <c r="A151" s="4">
        <f>IFERROR(Merged_data[[#This Row],[BTCUSD_Close]]/Merged_data!D150-1,"")</f>
        <v>3.5187026696243962E-3</v>
      </c>
      <c r="B151" s="4">
        <f>IFERROR(Merged_data[[#This Row],[XAUUSD_Close]]/Merged_data!C150-1, "")</f>
        <v>2.6321020851954202E-2</v>
      </c>
      <c r="C151" s="4">
        <f>IFERROR(Merged_data[[#This Row],[AAPL_Close]]/Merged_data!B150-1,"")</f>
        <v>4.2320139407516777E-3</v>
      </c>
      <c r="D151" s="4">
        <f t="shared" si="2"/>
        <v>1.2853623323894503E-2</v>
      </c>
    </row>
    <row r="152" spans="1:4" x14ac:dyDescent="0.25">
      <c r="A152" s="4">
        <f>IFERROR(Merged_data[[#This Row],[BTCUSD_Close]]/Merged_data!D151-1,"")</f>
        <v>4.7926671240186014E-3</v>
      </c>
      <c r="B152" s="4">
        <f>IFERROR(Merged_data[[#This Row],[XAUUSD_Close]]/Merged_data!C151-1, "")</f>
        <v>-8.330326884747552E-3</v>
      </c>
      <c r="C152" s="4">
        <f>IFERROR(Merged_data[[#This Row],[AAPL_Close]]/Merged_data!B151-1,"")</f>
        <v>7.7838373822509688E-3</v>
      </c>
      <c r="D152" s="4">
        <f t="shared" si="2"/>
        <v>4.4082059798185021E-4</v>
      </c>
    </row>
    <row r="153" spans="1:4" x14ac:dyDescent="0.25">
      <c r="A153" s="4">
        <f>IFERROR(Merged_data[[#This Row],[BTCUSD_Close]]/Merged_data!D152-1,"")</f>
        <v>-4.4758427765397846E-3</v>
      </c>
      <c r="B153" s="4">
        <f>IFERROR(Merged_data[[#This Row],[XAUUSD_Close]]/Merged_data!C152-1, "")</f>
        <v>5.7388659440278378E-3</v>
      </c>
      <c r="C153" s="4">
        <f>IFERROR(Merged_data[[#This Row],[AAPL_Close]]/Merged_data!B152-1,"")</f>
        <v>-2.2138042996999729E-3</v>
      </c>
      <c r="D153" s="4">
        <f t="shared" si="2"/>
        <v>2.8865225473920816E-4</v>
      </c>
    </row>
    <row r="154" spans="1:4" x14ac:dyDescent="0.25">
      <c r="A154" s="4">
        <f>IFERROR(Merged_data[[#This Row],[BTCUSD_Close]]/Merged_data!D153-1,"")</f>
        <v>-3.2043283198232131E-2</v>
      </c>
      <c r="B154" s="4">
        <f>IFERROR(Merged_data[[#This Row],[XAUUSD_Close]]/Merged_data!C153-1, "")</f>
        <v>-5.8929135305741953E-3</v>
      </c>
      <c r="C154" s="4">
        <f>IFERROR(Merged_data[[#This Row],[AAPL_Close]]/Merged_data!B153-1,"")</f>
        <v>-1.0797751701015712E-2</v>
      </c>
      <c r="D154" s="4">
        <f t="shared" si="2"/>
        <v>-1.5209475882004031E-2</v>
      </c>
    </row>
    <row r="155" spans="1:4" x14ac:dyDescent="0.25">
      <c r="A155" s="4">
        <f>IFERROR(Merged_data[[#This Row],[BTCUSD_Close]]/Merged_data!D154-1,"")</f>
        <v>2.6412383510957538E-2</v>
      </c>
      <c r="B155" s="4">
        <f>IFERROR(Merged_data[[#This Row],[XAUUSD_Close]]/Merged_data!C154-1, "")</f>
        <v>-1.2045084436384967E-2</v>
      </c>
      <c r="C155" s="4">
        <f>IFERROR(Merged_data[[#This Row],[AAPL_Close]]/Merged_data!B154-1,"")</f>
        <v>1.6398345212580434E-2</v>
      </c>
      <c r="D155" s="4">
        <f t="shared" si="2"/>
        <v>8.0251848425074053E-3</v>
      </c>
    </row>
    <row r="156" spans="1:4" x14ac:dyDescent="0.25">
      <c r="A156" s="4">
        <f>IFERROR(Merged_data[[#This Row],[BTCUSD_Close]]/Merged_data!D155-1,"")</f>
        <v>5.4111578765711377E-2</v>
      </c>
      <c r="B156" s="4">
        <f>IFERROR(Merged_data[[#This Row],[XAUUSD_Close]]/Merged_data!C155-1, "")</f>
        <v>3.9940406377785287E-3</v>
      </c>
      <c r="C156" s="4">
        <f>IFERROR(Merged_data[[#This Row],[AAPL_Close]]/Merged_data!B155-1,"")</f>
        <v>-1.2112593173793651E-2</v>
      </c>
      <c r="D156" s="4">
        <f t="shared" si="2"/>
        <v>1.4197311932686727E-2</v>
      </c>
    </row>
    <row r="157" spans="1:4" x14ac:dyDescent="0.25">
      <c r="A157" s="4">
        <f>IFERROR(Merged_data[[#This Row],[BTCUSD_Close]]/Merged_data!D156-1,"")</f>
        <v>-2.6376344966205778E-4</v>
      </c>
      <c r="B157" s="4">
        <f>IFERROR(Merged_data[[#This Row],[XAUUSD_Close]]/Merged_data!C156-1, "")</f>
        <v>-7.336878488963805E-4</v>
      </c>
      <c r="C157" s="4">
        <f>IFERROR(Merged_data[[#This Row],[AAPL_Close]]/Merged_data!B156-1,"")</f>
        <v>6.0560933234052872E-3</v>
      </c>
      <c r="D157" s="4">
        <f t="shared" si="2"/>
        <v>1.4442238225644164E-3</v>
      </c>
    </row>
    <row r="158" spans="1:4" x14ac:dyDescent="0.25">
      <c r="A158" s="4">
        <f>IFERROR(Merged_data[[#This Row],[BTCUSD_Close]]/Merged_data!D157-1,"")</f>
        <v>-1.2436543605232941E-2</v>
      </c>
      <c r="B158" s="4">
        <f>IFERROR(Merged_data[[#This Row],[XAUUSD_Close]]/Merged_data!C157-1, "")</f>
        <v>9.5840636730886164E-3</v>
      </c>
      <c r="C158" s="4">
        <f>IFERROR(Merged_data[[#This Row],[AAPL_Close]]/Merged_data!B157-1,"")</f>
        <v>-1.9193763260472618E-2</v>
      </c>
      <c r="D158" s="4">
        <f t="shared" si="2"/>
        <v>-5.6554665904762205E-3</v>
      </c>
    </row>
    <row r="159" spans="1:4" x14ac:dyDescent="0.25">
      <c r="A159" s="4">
        <f>IFERROR(Merged_data[[#This Row],[BTCUSD_Close]]/Merged_data!D158-1,"")</f>
        <v>-2.3767629961953363E-2</v>
      </c>
      <c r="B159" s="4">
        <f>IFERROR(Merged_data[[#This Row],[XAUUSD_Close]]/Merged_data!C158-1, "")</f>
        <v>9.1816129296662385E-3</v>
      </c>
      <c r="C159" s="4">
        <f>IFERROR(Merged_data[[#This Row],[AAPL_Close]]/Merged_data!B158-1,"")</f>
        <v>2.1128886205854513E-3</v>
      </c>
      <c r="D159" s="4">
        <f t="shared" si="2"/>
        <v>-2.8237772305438778E-3</v>
      </c>
    </row>
    <row r="160" spans="1:4" x14ac:dyDescent="0.25">
      <c r="A160" s="4">
        <f>IFERROR(Merged_data[[#This Row],[BTCUSD_Close]]/Merged_data!D159-1,"")</f>
        <v>-6.8226212831812294E-3</v>
      </c>
      <c r="B160" s="4">
        <f>IFERROR(Merged_data[[#This Row],[XAUUSD_Close]]/Merged_data!C159-1, "")</f>
        <v>1.377780665587669E-2</v>
      </c>
      <c r="C160" s="4">
        <f>IFERROR(Merged_data[[#This Row],[AAPL_Close]]/Merged_data!B159-1,"")</f>
        <v>-1.3805220883534086E-2</v>
      </c>
      <c r="D160" s="4">
        <f t="shared" si="2"/>
        <v>-6.7722998766391821E-4</v>
      </c>
    </row>
    <row r="161" spans="1:4" x14ac:dyDescent="0.25">
      <c r="A161" s="4">
        <f>IFERROR(Merged_data[[#This Row],[BTCUSD_Close]]/Merged_data!D160-1,"")</f>
        <v>3.1535041045910539E-2</v>
      </c>
      <c r="B161" s="4">
        <f>IFERROR(Merged_data[[#This Row],[XAUUSD_Close]]/Merged_data!C160-1, "")</f>
        <v>-1.3777009960583175E-2</v>
      </c>
      <c r="C161" s="4">
        <f>IFERROR(Merged_data[[#This Row],[AAPL_Close]]/Merged_data!B160-1,"")</f>
        <v>1.0027996945787709E-2</v>
      </c>
      <c r="D161" s="4">
        <f t="shared" si="2"/>
        <v>6.958107413276203E-3</v>
      </c>
    </row>
    <row r="162" spans="1:4" x14ac:dyDescent="0.25">
      <c r="A162" s="4">
        <f>IFERROR(Merged_data[[#This Row],[BTCUSD_Close]]/Merged_data!D161-1,"")</f>
        <v>-3.6733077270257097E-2</v>
      </c>
      <c r="B162" s="4">
        <f>IFERROR(Merged_data[[#This Row],[XAUUSD_Close]]/Merged_data!C161-1, "")</f>
        <v>1.0014061041463407E-3</v>
      </c>
      <c r="C162" s="4">
        <f>IFERROR(Merged_data[[#This Row],[AAPL_Close]]/Merged_data!B161-1,"")</f>
        <v>-1.4010684406813856E-2</v>
      </c>
      <c r="D162" s="4">
        <f t="shared" si="2"/>
        <v>-1.4822566061462749E-2</v>
      </c>
    </row>
    <row r="163" spans="1:4" x14ac:dyDescent="0.25">
      <c r="A163" s="4">
        <f>IFERROR(Merged_data[[#This Row],[BTCUSD_Close]]/Merged_data!D162-1,"")</f>
        <v>5.0392526224194434E-3</v>
      </c>
      <c r="B163" s="4">
        <f>IFERROR(Merged_data[[#This Row],[XAUUSD_Close]]/Merged_data!C162-1, "")</f>
        <v>-5.6719087064684981E-3</v>
      </c>
      <c r="C163" s="4">
        <f>IFERROR(Merged_data[[#This Row],[AAPL_Close]]/Merged_data!B162-1,"")</f>
        <v>4.8047434062565841E-3</v>
      </c>
      <c r="D163" s="4">
        <f t="shared" si="2"/>
        <v>6.8443532601540884E-4</v>
      </c>
    </row>
    <row r="164" spans="1:4" x14ac:dyDescent="0.25">
      <c r="A164" s="4">
        <f>IFERROR(Merged_data[[#This Row],[BTCUSD_Close]]/Merged_data!D163-1,"")</f>
        <v>-1.5879207657031991E-2</v>
      </c>
      <c r="B164" s="4">
        <f>IFERROR(Merged_data[[#This Row],[XAUUSD_Close]]/Merged_data!C163-1, "")</f>
        <v>-1.1708281271795018E-3</v>
      </c>
      <c r="C164" s="4">
        <f>IFERROR(Merged_data[[#This Row],[AAPL_Close]]/Merged_data!B163-1,"")</f>
        <v>2.248448468816755E-2</v>
      </c>
      <c r="D164" s="4">
        <f t="shared" si="2"/>
        <v>1.5132518584688674E-3</v>
      </c>
    </row>
    <row r="165" spans="1:4" x14ac:dyDescent="0.25">
      <c r="A165" s="4">
        <f>IFERROR(Merged_data[[#This Row],[BTCUSD_Close]]/Merged_data!D164-1,"")</f>
        <v>3.3933698773165322E-3</v>
      </c>
      <c r="B165" s="4">
        <f>IFERROR(Merged_data[[#This Row],[XAUUSD_Close]]/Merged_data!C164-1, "")</f>
        <v>9.7757664988340487E-4</v>
      </c>
      <c r="C165" s="4">
        <f>IFERROR(Merged_data[[#This Row],[AAPL_Close]]/Merged_data!B164-1,"")</f>
        <v>2.4875621890547706E-3</v>
      </c>
      <c r="D165" s="4">
        <f t="shared" si="2"/>
        <v>2.1553102798647526E-3</v>
      </c>
    </row>
    <row r="166" spans="1:4" x14ac:dyDescent="0.25">
      <c r="A166" s="4">
        <f>IFERROR(Merged_data[[#This Row],[BTCUSD_Close]]/Merged_data!D165-1,"")</f>
        <v>2.2324353489806104E-2</v>
      </c>
      <c r="B166" s="4">
        <f>IFERROR(Merged_data[[#This Row],[XAUUSD_Close]]/Merged_data!C165-1, "")</f>
        <v>-1.3274933914754983E-2</v>
      </c>
      <c r="C166" s="4">
        <f>IFERROR(Merged_data[[#This Row],[AAPL_Close]]/Merged_data!B165-1,"")</f>
        <v>-5.9553349875930417E-3</v>
      </c>
      <c r="D166" s="4">
        <f t="shared" si="2"/>
        <v>-3.9926801523807527E-4</v>
      </c>
    </row>
    <row r="167" spans="1:4" x14ac:dyDescent="0.25">
      <c r="A167" s="4">
        <f>IFERROR(Merged_data[[#This Row],[BTCUSD_Close]]/Merged_data!D166-1,"")</f>
        <v>1.4815512935300035E-2</v>
      </c>
      <c r="B167" s="4">
        <f>IFERROR(Merged_data[[#This Row],[XAUUSD_Close]]/Merged_data!C166-1, "")</f>
        <v>2.4849317170247964E-3</v>
      </c>
      <c r="C167" s="4">
        <f>IFERROR(Merged_data[[#This Row],[AAPL_Close]]/Merged_data!B166-1,"")</f>
        <v>6.2905641537693846E-3</v>
      </c>
      <c r="D167" s="4">
        <f t="shared" si="2"/>
        <v>7.3257958135307449E-3</v>
      </c>
    </row>
    <row r="168" spans="1:4" x14ac:dyDescent="0.25">
      <c r="A168" s="4">
        <f>IFERROR(Merged_data[[#This Row],[BTCUSD_Close]]/Merged_data!D167-1,"")</f>
        <v>-5.3028966260204591E-3</v>
      </c>
      <c r="B168" s="4">
        <f>IFERROR(Merged_data[[#This Row],[XAUUSD_Close]]/Merged_data!C167-1, "")</f>
        <v>-1.3174103733312181E-3</v>
      </c>
      <c r="C168" s="4">
        <f>IFERROR(Merged_data[[#This Row],[AAPL_Close]]/Merged_data!B167-1,"")</f>
        <v>-2.7783290335383626E-3</v>
      </c>
      <c r="D168" s="4">
        <f t="shared" si="2"/>
        <v>-2.9513318472001336E-3</v>
      </c>
    </row>
    <row r="169" spans="1:4" x14ac:dyDescent="0.25">
      <c r="A169" s="4">
        <f>IFERROR(Merged_data[[#This Row],[BTCUSD_Close]]/Merged_data!D168-1,"")</f>
        <v>-2.0820495583814269E-3</v>
      </c>
      <c r="B169" s="4">
        <f>IFERROR(Merged_data[[#This Row],[XAUUSD_Close]]/Merged_data!C168-1, "")</f>
        <v>-1.7058780223594083E-2</v>
      </c>
      <c r="C169" s="4">
        <f>IFERROR(Merged_data[[#This Row],[AAPL_Close]]/Merged_data!B168-1,"")</f>
        <v>3.9800995024874553E-4</v>
      </c>
      <c r="D169" s="4">
        <f t="shared" si="2"/>
        <v>-7.3287239718774384E-3</v>
      </c>
    </row>
    <row r="170" spans="1:4" x14ac:dyDescent="0.25">
      <c r="A170" s="4">
        <f>IFERROR(Merged_data[[#This Row],[BTCUSD_Close]]/Merged_data!D169-1,"")</f>
        <v>2.7132471955315651E-3</v>
      </c>
      <c r="B170" s="4">
        <f>IFERROR(Merged_data[[#This Row],[XAUUSD_Close]]/Merged_data!C169-1, "")</f>
        <v>9.7565523893083927E-3</v>
      </c>
      <c r="C170" s="4">
        <f>IFERROR(Merged_data[[#This Row],[AAPL_Close]]/Merged_data!B169-1,"")</f>
        <v>2.0340163119156429E-2</v>
      </c>
      <c r="D170" s="4">
        <f t="shared" si="2"/>
        <v>1.0818644050129755E-2</v>
      </c>
    </row>
    <row r="171" spans="1:4" x14ac:dyDescent="0.25">
      <c r="A171" s="4">
        <f>IFERROR(Merged_data[[#This Row],[BTCUSD_Close]]/Merged_data!D170-1,"")</f>
        <v>-1.273641682140092E-2</v>
      </c>
      <c r="B171" s="4">
        <f>IFERROR(Merged_data[[#This Row],[XAUUSD_Close]]/Merged_data!C170-1, "")</f>
        <v>1.0740073568368702E-2</v>
      </c>
      <c r="C171" s="4">
        <f>IFERROR(Merged_data[[#This Row],[AAPL_Close]]/Merged_data!B170-1,"")</f>
        <v>1.2916118340888127E-2</v>
      </c>
      <c r="D171" s="4">
        <f t="shared" si="2"/>
        <v>4.3499398831936438E-3</v>
      </c>
    </row>
    <row r="172" spans="1:4" x14ac:dyDescent="0.25">
      <c r="A172" s="4">
        <f>IFERROR(Merged_data[[#This Row],[BTCUSD_Close]]/Merged_data!D171-1,"")</f>
        <v>3.4855587479207584E-2</v>
      </c>
      <c r="B172" s="4">
        <f>IFERROR(Merged_data[[#This Row],[XAUUSD_Close]]/Merged_data!C171-1, "")</f>
        <v>5.7360660770848781E-3</v>
      </c>
      <c r="C172" s="4">
        <f>IFERROR(Merged_data[[#This Row],[AAPL_Close]]/Merged_data!B171-1,"")</f>
        <v>2.2230776633625382E-2</v>
      </c>
      <c r="D172" s="4">
        <f t="shared" si="2"/>
        <v>1.942033566468384E-2</v>
      </c>
    </row>
    <row r="173" spans="1:4" x14ac:dyDescent="0.25">
      <c r="A173" s="4">
        <f>IFERROR(Merged_data[[#This Row],[BTCUSD_Close]]/Merged_data!D172-1,"")</f>
        <v>3.360853364506422E-3</v>
      </c>
      <c r="B173" s="4">
        <f>IFERROR(Merged_data[[#This Row],[XAUUSD_Close]]/Merged_data!C172-1, "")</f>
        <v>-9.4023394164116647E-3</v>
      </c>
      <c r="C173" s="4">
        <f>IFERROR(Merged_data[[#This Row],[AAPL_Close]]/Merged_data!B172-1,"")</f>
        <v>5.2250047072115446E-3</v>
      </c>
      <c r="D173" s="4">
        <f t="shared" si="2"/>
        <v>-1.1851783450492763E-3</v>
      </c>
    </row>
    <row r="174" spans="1:4" x14ac:dyDescent="0.25">
      <c r="A174" s="4">
        <f>IFERROR(Merged_data[[#This Row],[BTCUSD_Close]]/Merged_data!D173-1,"")</f>
        <v>-1.4954853273137725E-2</v>
      </c>
      <c r="B174" s="4">
        <f>IFERROR(Merged_data[[#This Row],[XAUUSD_Close]]/Merged_data!C173-1, "")</f>
        <v>3.2650803266884854E-3</v>
      </c>
      <c r="C174" s="4">
        <f>IFERROR(Merged_data[[#This Row],[AAPL_Close]]/Merged_data!B173-1,"")</f>
        <v>-1.6857878716928232E-2</v>
      </c>
      <c r="D174" s="4">
        <f t="shared" si="2"/>
        <v>-8.2377874663443935E-3</v>
      </c>
    </row>
    <row r="175" spans="1:4" x14ac:dyDescent="0.25">
      <c r="A175" s="4">
        <f>IFERROR(Merged_data[[#This Row],[BTCUSD_Close]]/Merged_data!D174-1,"")</f>
        <v>6.2741981685625614E-3</v>
      </c>
      <c r="B175" s="4">
        <f>IFERROR(Merged_data[[#This Row],[XAUUSD_Close]]/Merged_data!C174-1, "")</f>
        <v>-1.0596455162100948E-2</v>
      </c>
      <c r="C175" s="4">
        <f>IFERROR(Merged_data[[#This Row],[AAPL_Close]]/Merged_data!B174-1,"")</f>
        <v>2.8578232912601642E-4</v>
      </c>
      <c r="D175" s="4">
        <f t="shared" si="2"/>
        <v>-2.2705879155338064E-3</v>
      </c>
    </row>
    <row r="176" spans="1:4" x14ac:dyDescent="0.25">
      <c r="A176" s="4">
        <f>IFERROR(Merged_data[[#This Row],[BTCUSD_Close]]/Merged_data!D175-1,"")</f>
        <v>1.7970615243342536E-2</v>
      </c>
      <c r="B176" s="4">
        <f>IFERROR(Merged_data[[#This Row],[XAUUSD_Close]]/Merged_data!C175-1, "")</f>
        <v>3.6588265404249309E-3</v>
      </c>
      <c r="C176" s="4">
        <f>IFERROR(Merged_data[[#This Row],[AAPL_Close]]/Merged_data!B175-1,"")</f>
        <v>5.3806961573257261E-3</v>
      </c>
      <c r="D176" s="4">
        <f t="shared" si="2"/>
        <v>8.468924036370451E-3</v>
      </c>
    </row>
    <row r="177" spans="1:4" x14ac:dyDescent="0.25">
      <c r="A177" s="4">
        <f>IFERROR(Merged_data[[#This Row],[BTCUSD_Close]]/Merged_data!D176-1,"")</f>
        <v>5.0741044769387678E-2</v>
      </c>
      <c r="B177" s="4">
        <f>IFERROR(Merged_data[[#This Row],[XAUUSD_Close]]/Merged_data!C176-1, "")</f>
        <v>3.1264287341736807E-3</v>
      </c>
      <c r="C177" s="4">
        <f>IFERROR(Merged_data[[#This Row],[AAPL_Close]]/Merged_data!B176-1,"")</f>
        <v>6.0149663730226788E-3</v>
      </c>
      <c r="D177" s="4">
        <f t="shared" si="2"/>
        <v>1.8277374836392576E-2</v>
      </c>
    </row>
    <row r="178" spans="1:4" x14ac:dyDescent="0.25">
      <c r="A178" s="4">
        <f>IFERROR(Merged_data[[#This Row],[BTCUSD_Close]]/Merged_data!D177-1,"")</f>
        <v>1.3272436943047028E-2</v>
      </c>
      <c r="B178" s="4">
        <f>IFERROR(Merged_data[[#This Row],[XAUUSD_Close]]/Merged_data!C177-1, "")</f>
        <v>9.7471604626291342E-3</v>
      </c>
      <c r="C178" s="4">
        <f>IFERROR(Merged_data[[#This Row],[AAPL_Close]]/Merged_data!B177-1,"")</f>
        <v>-5.8848453462643224E-3</v>
      </c>
      <c r="D178" s="4">
        <f t="shared" si="2"/>
        <v>6.1151416640864648E-3</v>
      </c>
    </row>
    <row r="179" spans="1:4" x14ac:dyDescent="0.25">
      <c r="A179" s="4">
        <f>IFERROR(Merged_data[[#This Row],[BTCUSD_Close]]/Merged_data!D178-1,"")</f>
        <v>1.7004439624495937E-2</v>
      </c>
      <c r="B179" s="4">
        <f>IFERROR(Merged_data[[#This Row],[XAUUSD_Close]]/Merged_data!C178-1, "")</f>
        <v>-3.8552694889980588E-3</v>
      </c>
      <c r="C179" s="4">
        <f>IFERROR(Merged_data[[#This Row],[AAPL_Close]]/Merged_data!B178-1,"")</f>
        <v>-1.2028793332070409E-2</v>
      </c>
      <c r="D179" s="4">
        <f t="shared" si="2"/>
        <v>-4.9413907871565139E-5</v>
      </c>
    </row>
    <row r="180" spans="1:4" x14ac:dyDescent="0.25">
      <c r="A180" s="4">
        <f>IFERROR(Merged_data[[#This Row],[BTCUSD_Close]]/Merged_data!D179-1,"")</f>
        <v>-2.071895697088344E-2</v>
      </c>
      <c r="B180" s="4">
        <f>IFERROR(Merged_data[[#This Row],[XAUUSD_Close]]/Merged_data!C179-1, "")</f>
        <v>-5.8381847791464381E-3</v>
      </c>
      <c r="C180" s="4">
        <f>IFERROR(Merged_data[[#This Row],[AAPL_Close]]/Merged_data!B179-1,"")</f>
        <v>2.3487680951010947E-3</v>
      </c>
      <c r="D180" s="4">
        <f t="shared" si="2"/>
        <v>-7.8463305743932781E-3</v>
      </c>
    </row>
    <row r="181" spans="1:4" x14ac:dyDescent="0.25">
      <c r="A181" s="4">
        <f>IFERROR(Merged_data[[#This Row],[BTCUSD_Close]]/Merged_data!D180-1,"")</f>
        <v>1.5287371967196428E-2</v>
      </c>
      <c r="B181" s="4">
        <f>IFERROR(Merged_data[[#This Row],[XAUUSD_Close]]/Merged_data!C180-1, "")</f>
        <v>7.0969032652072883E-3</v>
      </c>
      <c r="C181" s="4">
        <f>IFERROR(Merged_data[[#This Row],[AAPL_Close]]/Merged_data!B180-1,"")</f>
        <v>5.0212806656781961E-3</v>
      </c>
      <c r="D181" s="4">
        <f t="shared" si="2"/>
        <v>8.9313570959453029E-3</v>
      </c>
    </row>
    <row r="182" spans="1:4" x14ac:dyDescent="0.25">
      <c r="A182" s="4">
        <f>IFERROR(Merged_data[[#This Row],[BTCUSD_Close]]/Merged_data!D181-1,"")</f>
        <v>8.2868993254849865E-3</v>
      </c>
      <c r="B182" s="4">
        <f>IFERROR(Merged_data[[#This Row],[XAUUSD_Close]]/Merged_data!C181-1, "")</f>
        <v>-2.5003173939344148E-3</v>
      </c>
      <c r="C182" s="4">
        <f>IFERROR(Merged_data[[#This Row],[AAPL_Close]]/Merged_data!B181-1,"")</f>
        <v>-6.6615911686329632E-4</v>
      </c>
      <c r="D182" s="4">
        <f t="shared" si="2"/>
        <v>1.2860951050127408E-3</v>
      </c>
    </row>
    <row r="183" spans="1:4" x14ac:dyDescent="0.25">
      <c r="A183" s="4">
        <f>IFERROR(Merged_data[[#This Row],[BTCUSD_Close]]/Merged_data!D182-1,"")</f>
        <v>-2.4074658866155896E-2</v>
      </c>
      <c r="B183" s="4">
        <f>IFERROR(Merged_data[[#This Row],[XAUUSD_Close]]/Merged_data!C182-1, "")</f>
        <v>2.7222048361810192E-3</v>
      </c>
      <c r="C183" s="4">
        <f>IFERROR(Merged_data[[#This Row],[AAPL_Close]]/Merged_data!B182-1,"")</f>
        <v>5.5232834968097499E-3</v>
      </c>
      <c r="D183" s="4">
        <f t="shared" si="2"/>
        <v>-4.4765306763314356E-3</v>
      </c>
    </row>
    <row r="184" spans="1:4" x14ac:dyDescent="0.25">
      <c r="A184" s="4">
        <f>IFERROR(Merged_data[[#This Row],[BTCUSD_Close]]/Merged_data!D183-1,"")</f>
        <v>-1.3879782351388092E-3</v>
      </c>
      <c r="B184" s="4">
        <f>IFERROR(Merged_data[[#This Row],[XAUUSD_Close]]/Merged_data!C183-1, "")</f>
        <v>1.4586528367422913E-2</v>
      </c>
      <c r="C184" s="4">
        <f>IFERROR(Merged_data[[#This Row],[AAPL_Close]]/Merged_data!B183-1,"")</f>
        <v>6.155885974050479E-3</v>
      </c>
      <c r="D184" s="4">
        <f t="shared" si="2"/>
        <v>7.2649836686426656E-3</v>
      </c>
    </row>
    <row r="185" spans="1:4" x14ac:dyDescent="0.25">
      <c r="A185" s="4">
        <f>IFERROR(Merged_data[[#This Row],[BTCUSD_Close]]/Merged_data!D184-1,"")</f>
        <v>1.8426931800740176E-2</v>
      </c>
      <c r="B185" s="4">
        <f>IFERROR(Merged_data[[#This Row],[XAUUSD_Close]]/Merged_data!C184-1, "")</f>
        <v>1.0187996650118381E-2</v>
      </c>
      <c r="C185" s="4">
        <f>IFERROR(Merged_data[[#This Row],[AAPL_Close]]/Merged_data!B184-1,"")</f>
        <v>9.0361445783133654E-3</v>
      </c>
      <c r="D185" s="4">
        <f t="shared" si="2"/>
        <v>1.2314121573763414E-2</v>
      </c>
    </row>
    <row r="186" spans="1:4" x14ac:dyDescent="0.25">
      <c r="A186" s="4">
        <f>IFERROR(Merged_data[[#This Row],[BTCUSD_Close]]/Merged_data!D185-1,"")</f>
        <v>-1.1010172897391923E-2</v>
      </c>
      <c r="B186" s="4">
        <f>IFERROR(Merged_data[[#This Row],[XAUUSD_Close]]/Merged_data!C185-1, "")</f>
        <v>-1.2961335996701351E-2</v>
      </c>
      <c r="C186" s="4">
        <f>IFERROR(Merged_data[[#This Row],[AAPL_Close]]/Merged_data!B185-1,"")</f>
        <v>-1.1660447761193682E-3</v>
      </c>
      <c r="D186" s="4">
        <f t="shared" si="2"/>
        <v>-8.8373997007339285E-3</v>
      </c>
    </row>
    <row r="187" spans="1:4" x14ac:dyDescent="0.25">
      <c r="A187" s="4">
        <f>IFERROR(Merged_data[[#This Row],[BTCUSD_Close]]/Merged_data!D186-1,"")</f>
        <v>4.0467321368100606E-3</v>
      </c>
      <c r="B187" s="4">
        <f>IFERROR(Merged_data[[#This Row],[XAUUSD_Close]]/Merged_data!C186-1, "")</f>
        <v>-5.5029647813206184E-3</v>
      </c>
      <c r="C187" s="4">
        <f>IFERROR(Merged_data[[#This Row],[AAPL_Close]]/Merged_data!B186-1,"")</f>
        <v>-1.8211533971516092E-3</v>
      </c>
      <c r="D187" s="4">
        <f t="shared" si="2"/>
        <v>-1.5335122906307121E-3</v>
      </c>
    </row>
    <row r="188" spans="1:4" x14ac:dyDescent="0.25">
      <c r="A188" s="4">
        <f>IFERROR(Merged_data[[#This Row],[BTCUSD_Close]]/Merged_data!D187-1,"")</f>
        <v>-1.5514595524376507E-2</v>
      </c>
      <c r="B188" s="4">
        <f>IFERROR(Merged_data[[#This Row],[XAUUSD_Close]]/Merged_data!C187-1, "")</f>
        <v>-9.2292849456381276E-3</v>
      </c>
      <c r="C188" s="4">
        <f>IFERROR(Merged_data[[#This Row],[AAPL_Close]]/Merged_data!B187-1,"")</f>
        <v>5.6137724550908707E-4</v>
      </c>
      <c r="D188" s="4">
        <f t="shared" si="2"/>
        <v>-8.1776794619154766E-3</v>
      </c>
    </row>
    <row r="189" spans="1:4" x14ac:dyDescent="0.25">
      <c r="A189" s="4">
        <f>IFERROR(Merged_data[[#This Row],[BTCUSD_Close]]/Merged_data!D188-1,"")</f>
        <v>1.1648024118261713E-2</v>
      </c>
      <c r="B189" s="4">
        <f>IFERROR(Merged_data[[#This Row],[XAUUSD_Close]]/Merged_data!C188-1, "")</f>
        <v>-6.8643474899888757E-3</v>
      </c>
      <c r="C189" s="4">
        <f>IFERROR(Merged_data[[#This Row],[AAPL_Close]]/Merged_data!B188-1,"")</f>
        <v>7.9483822704329299E-4</v>
      </c>
      <c r="D189" s="4">
        <f t="shared" si="2"/>
        <v>9.8711970759595086E-4</v>
      </c>
    </row>
    <row r="190" spans="1:4" x14ac:dyDescent="0.25">
      <c r="A190" s="4">
        <f>IFERROR(Merged_data[[#This Row],[BTCUSD_Close]]/Merged_data!D189-1,"")</f>
        <v>-4.402377283733161E-3</v>
      </c>
      <c r="B190" s="4">
        <f>IFERROR(Merged_data[[#This Row],[XAUUSD_Close]]/Merged_data!C189-1, "")</f>
        <v>3.6173021080816437E-3</v>
      </c>
      <c r="C190" s="4">
        <f>IFERROR(Merged_data[[#This Row],[AAPL_Close]]/Merged_data!B189-1,"")</f>
        <v>-1.2987619715019827E-2</v>
      </c>
      <c r="D190" s="4">
        <f t="shared" si="2"/>
        <v>-3.7700782563932387E-3</v>
      </c>
    </row>
    <row r="191" spans="1:4" x14ac:dyDescent="0.25">
      <c r="A191" s="4">
        <f>IFERROR(Merged_data[[#This Row],[BTCUSD_Close]]/Merged_data!D190-1,"")</f>
        <v>-2.4065035119644751E-3</v>
      </c>
      <c r="B191" s="4">
        <f>IFERROR(Merged_data[[#This Row],[XAUUSD_Close]]/Merged_data!C190-1, "")</f>
        <v>-1.5359456985554298E-2</v>
      </c>
      <c r="C191" s="4">
        <f>IFERROR(Merged_data[[#This Row],[AAPL_Close]]/Merged_data!B190-1,"")</f>
        <v>-1.0507880910682998E-2</v>
      </c>
      <c r="D191" s="4">
        <f t="shared" si="2"/>
        <v>-1.0018098121015962E-2</v>
      </c>
    </row>
    <row r="192" spans="1:4" x14ac:dyDescent="0.25">
      <c r="A192" s="4">
        <f>IFERROR(Merged_data[[#This Row],[BTCUSD_Close]]/Merged_data!D191-1,"")</f>
        <v>-6.5635255508673662E-3</v>
      </c>
      <c r="B192" s="4">
        <f>IFERROR(Merged_data[[#This Row],[XAUUSD_Close]]/Merged_data!C191-1, "")</f>
        <v>4.416092711996944E-3</v>
      </c>
      <c r="C192" s="4">
        <f>IFERROR(Merged_data[[#This Row],[AAPL_Close]]/Merged_data!B191-1,"")</f>
        <v>-7.0796460176991705E-3</v>
      </c>
      <c r="D192" s="4">
        <f t="shared" si="2"/>
        <v>-2.3265143857711832E-3</v>
      </c>
    </row>
    <row r="193" spans="1:4" x14ac:dyDescent="0.25">
      <c r="A193" s="4">
        <f>IFERROR(Merged_data[[#This Row],[BTCUSD_Close]]/Merged_data!D192-1,"")</f>
        <v>-2.7929126088635292E-2</v>
      </c>
      <c r="B193" s="4">
        <f>IFERROR(Merged_data[[#This Row],[XAUUSD_Close]]/Merged_data!C192-1, "")</f>
        <v>2.039826929302091E-2</v>
      </c>
      <c r="C193" s="4">
        <f>IFERROR(Merged_data[[#This Row],[AAPL_Close]]/Merged_data!B192-1,"")</f>
        <v>-2.5003613238907318E-2</v>
      </c>
      <c r="D193" s="4">
        <f t="shared" si="2"/>
        <v>-7.720514081054417E-3</v>
      </c>
    </row>
    <row r="194" spans="1:4" x14ac:dyDescent="0.25">
      <c r="A194" s="4">
        <f>IFERROR(Merged_data[[#This Row],[BTCUSD_Close]]/Merged_data!D193-1,"")</f>
        <v>1.6020831494394816E-2</v>
      </c>
      <c r="B194" s="4">
        <f>IFERROR(Merged_data[[#This Row],[XAUUSD_Close]]/Merged_data!C193-1, "")</f>
        <v>4.9477301059397405E-3</v>
      </c>
      <c r="C194" s="4">
        <f>IFERROR(Merged_data[[#This Row],[AAPL_Close]]/Merged_data!B193-1,"")</f>
        <v>4.792963731593991E-3</v>
      </c>
      <c r="D194" s="4">
        <f t="shared" si="2"/>
        <v>8.2232306101725373E-3</v>
      </c>
    </row>
    <row r="195" spans="1:4" x14ac:dyDescent="0.25">
      <c r="A195" s="4">
        <f>IFERROR(Merged_data[[#This Row],[BTCUSD_Close]]/Merged_data!D194-1,"")</f>
        <v>-1.3022892141957398E-2</v>
      </c>
      <c r="B195" s="4">
        <f>IFERROR(Merged_data[[#This Row],[XAUUSD_Close]]/Merged_data!C194-1, "")</f>
        <v>2.1311881151435674E-3</v>
      </c>
      <c r="C195" s="4">
        <f>IFERROR(Merged_data[[#This Row],[AAPL_Close]]/Merged_data!B194-1,"")</f>
        <v>-2.1145807720679421E-3</v>
      </c>
      <c r="D195" s="4">
        <f t="shared" si="2"/>
        <v>-3.6887666281501747E-3</v>
      </c>
    </row>
    <row r="196" spans="1:4" x14ac:dyDescent="0.25">
      <c r="A196" s="4">
        <f>IFERROR(Merged_data[[#This Row],[BTCUSD_Close]]/Merged_data!D195-1,"")</f>
        <v>1.3001073886942605E-2</v>
      </c>
      <c r="B196" s="4">
        <f>IFERROR(Merged_data[[#This Row],[XAUUSD_Close]]/Merged_data!C195-1, "")</f>
        <v>-3.410339569847709E-3</v>
      </c>
      <c r="C196" s="4">
        <f>IFERROR(Merged_data[[#This Row],[AAPL_Close]]/Merged_data!B195-1,"")</f>
        <v>5.0906761285235635E-2</v>
      </c>
      <c r="D196" s="4">
        <f t="shared" ref="D196:D251" si="3">SUMPRODUCT(A196:C196,$I$2:$K$2)</f>
        <v>1.7808214723714386E-2</v>
      </c>
    </row>
    <row r="197" spans="1:4" x14ac:dyDescent="0.25">
      <c r="A197" s="4">
        <f>IFERROR(Merged_data[[#This Row],[BTCUSD_Close]]/Merged_data!D196-1,"")</f>
        <v>1.7978328684514544E-2</v>
      </c>
      <c r="B197" s="4">
        <f>IFERROR(Merged_data[[#This Row],[XAUUSD_Close]]/Merged_data!C196-1, "")</f>
        <v>8.4333398132883097E-3</v>
      </c>
      <c r="C197" s="4">
        <f>IFERROR(Merged_data[[#This Row],[AAPL_Close]]/Merged_data!B196-1,"")</f>
        <v>3.1793669402110147E-2</v>
      </c>
      <c r="D197" s="4">
        <f t="shared" si="3"/>
        <v>1.8304935351302731E-2</v>
      </c>
    </row>
    <row r="198" spans="1:4" x14ac:dyDescent="0.25">
      <c r="A198" s="4">
        <f>IFERROR(Merged_data[[#This Row],[BTCUSD_Close]]/Merged_data!D197-1,"")</f>
        <v>-5.710529909860651E-3</v>
      </c>
      <c r="B198" s="4">
        <f>IFERROR(Merged_data[[#This Row],[XAUUSD_Close]]/Merged_data!C197-1, "")</f>
        <v>2.1337461518999845E-4</v>
      </c>
      <c r="C198" s="4">
        <f>IFERROR(Merged_data[[#This Row],[AAPL_Close]]/Merged_data!B197-1,"")</f>
        <v>4.235786029177846E-2</v>
      </c>
      <c r="D198" s="4">
        <f t="shared" si="3"/>
        <v>1.1079548960651341E-2</v>
      </c>
    </row>
    <row r="199" spans="1:4" x14ac:dyDescent="0.25">
      <c r="A199" s="4">
        <f>IFERROR(Merged_data[[#This Row],[BTCUSD_Close]]/Merged_data!D198-1,"")</f>
        <v>1.9238858889280008E-2</v>
      </c>
      <c r="B199" s="4">
        <f>IFERROR(Merged_data[[#This Row],[XAUUSD_Close]]/Merged_data!C198-1, "")</f>
        <v>-1.6442523992167168E-2</v>
      </c>
      <c r="C199" s="4">
        <f>IFERROR(Merged_data[[#This Row],[AAPL_Close]]/Merged_data!B198-1,"")</f>
        <v>-9.4615216917374179E-3</v>
      </c>
      <c r="D199" s="4">
        <f t="shared" si="3"/>
        <v>-3.6438084376040902E-3</v>
      </c>
    </row>
    <row r="200" spans="1:4" x14ac:dyDescent="0.25">
      <c r="A200" s="4">
        <f>IFERROR(Merged_data[[#This Row],[BTCUSD_Close]]/Merged_data!D199-1,"")</f>
        <v>9.9305953303459038E-3</v>
      </c>
      <c r="B200" s="4">
        <f>IFERROR(Merged_data[[#This Row],[XAUUSD_Close]]/Merged_data!C199-1, "")</f>
        <v>1.6693466960846504E-3</v>
      </c>
      <c r="C200" s="4">
        <f>IFERROR(Merged_data[[#This Row],[AAPL_Close]]/Merged_data!B199-1,"")</f>
        <v>1.0872435953869219E-2</v>
      </c>
      <c r="D200" s="4">
        <f t="shared" si="3"/>
        <v>6.9086480636983971E-3</v>
      </c>
    </row>
    <row r="201" spans="1:4" x14ac:dyDescent="0.25">
      <c r="A201" s="4">
        <f>IFERROR(Merged_data[[#This Row],[BTCUSD_Close]]/Merged_data!D200-1,"")</f>
        <v>2.2318040416002827E-2</v>
      </c>
      <c r="B201" s="4">
        <f>IFERROR(Merged_data[[#This Row],[XAUUSD_Close]]/Merged_data!C200-1, "")</f>
        <v>2.326619785825601E-3</v>
      </c>
      <c r="C201" s="4">
        <f>IFERROR(Merged_data[[#This Row],[AAPL_Close]]/Merged_data!B200-1,"")</f>
        <v>1.6024384933594593E-2</v>
      </c>
      <c r="D201" s="4">
        <f t="shared" si="3"/>
        <v>1.2433375519209467E-2</v>
      </c>
    </row>
    <row r="202" spans="1:4" x14ac:dyDescent="0.25">
      <c r="A202" s="4">
        <f>IFERROR(Merged_data[[#This Row],[BTCUSD_Close]]/Merged_data!D201-1,"")</f>
        <v>-3.7526819438892467E-2</v>
      </c>
      <c r="B202" s="4">
        <f>IFERROR(Merged_data[[#This Row],[XAUUSD_Close]]/Merged_data!C201-1, "")</f>
        <v>-6.0965525872357373E-3</v>
      </c>
      <c r="C202" s="4">
        <f>IFERROR(Merged_data[[#This Row],[AAPL_Close]]/Merged_data!B201-1,"")</f>
        <v>-2.3571765310933523E-3</v>
      </c>
      <c r="D202" s="4">
        <f t="shared" si="3"/>
        <v>-1.4403819825890039E-2</v>
      </c>
    </row>
    <row r="203" spans="1:4" x14ac:dyDescent="0.25">
      <c r="A203" s="4">
        <f>IFERROR(Merged_data[[#This Row],[BTCUSD_Close]]/Merged_data!D202-1,"")</f>
        <v>-8.5184651505776365E-3</v>
      </c>
      <c r="B203" s="4">
        <f>IFERROR(Merged_data[[#This Row],[XAUUSD_Close]]/Merged_data!C202-1, "")</f>
        <v>1.0792871308502594E-3</v>
      </c>
      <c r="C203" s="4">
        <f>IFERROR(Merged_data[[#This Row],[AAPL_Close]]/Merged_data!B202-1,"")</f>
        <v>-5.112123034624938E-3</v>
      </c>
      <c r="D203" s="4">
        <f t="shared" si="3"/>
        <v>-3.6574616032206686E-3</v>
      </c>
    </row>
    <row r="204" spans="1:4" x14ac:dyDescent="0.25">
      <c r="A204" s="4">
        <f>IFERROR(Merged_data[[#This Row],[BTCUSD_Close]]/Merged_data!D203-1,"")</f>
        <v>-2.1799716176243988E-3</v>
      </c>
      <c r="B204" s="4">
        <f>IFERROR(Merged_data[[#This Row],[XAUUSD_Close]]/Merged_data!C203-1, "")</f>
        <v>-1.8627578699275116E-3</v>
      </c>
      <c r="C204" s="4">
        <f>IFERROR(Merged_data[[#This Row],[AAPL_Close]]/Merged_data!B203-1,"")</f>
        <v>-3.0225830130835574E-3</v>
      </c>
      <c r="D204" s="4">
        <f t="shared" si="3"/>
        <v>-2.3058695371833914E-3</v>
      </c>
    </row>
    <row r="205" spans="1:4" x14ac:dyDescent="0.25">
      <c r="A205" s="4">
        <f>IFERROR(Merged_data[[#This Row],[BTCUSD_Close]]/Merged_data!D204-1,"")</f>
        <v>-2.8178788372073105E-2</v>
      </c>
      <c r="B205" s="4">
        <f>IFERROR(Merged_data[[#This Row],[XAUUSD_Close]]/Merged_data!C204-1, "")</f>
        <v>-5.1051406951572176E-3</v>
      </c>
      <c r="C205" s="4">
        <f>IFERROR(Merged_data[[#This Row],[AAPL_Close]]/Merged_data!B204-1,"")</f>
        <v>-1.4292520247736196E-3</v>
      </c>
      <c r="D205" s="4">
        <f t="shared" si="3"/>
        <v>-1.0924468397116905E-2</v>
      </c>
    </row>
    <row r="206" spans="1:4" x14ac:dyDescent="0.25">
      <c r="A206" s="4">
        <f>IFERROR(Merged_data[[#This Row],[BTCUSD_Close]]/Merged_data!D205-1,"")</f>
        <v>8.4633694789737479E-3</v>
      </c>
      <c r="B206" s="4">
        <f>IFERROR(Merged_data[[#This Row],[XAUUSD_Close]]/Merged_data!C205-1, "")</f>
        <v>9.8359419765372547E-3</v>
      </c>
      <c r="C206" s="4">
        <f>IFERROR(Merged_data[[#This Row],[AAPL_Close]]/Merged_data!B205-1,"")</f>
        <v>-1.9734559333795976E-2</v>
      </c>
      <c r="D206" s="4">
        <f t="shared" si="3"/>
        <v>5.5301983416823457E-4</v>
      </c>
    </row>
    <row r="207" spans="1:4" x14ac:dyDescent="0.25">
      <c r="A207" s="4">
        <f>IFERROR(Merged_data[[#This Row],[BTCUSD_Close]]/Merged_data!D206-1,"")</f>
        <v>-1.548212256316106E-2</v>
      </c>
      <c r="B207" s="4">
        <f>IFERROR(Merged_data[[#This Row],[XAUUSD_Close]]/Merged_data!C206-1, "")</f>
        <v>-2.8191601351643669E-3</v>
      </c>
      <c r="C207" s="4">
        <f>IFERROR(Merged_data[[#This Row],[AAPL_Close]]/Merged_data!B206-1,"")</f>
        <v>-4.9112871111897105E-3</v>
      </c>
      <c r="D207" s="4">
        <f t="shared" si="3"/>
        <v>-7.2456869563709784E-3</v>
      </c>
    </row>
    <row r="208" spans="1:4" x14ac:dyDescent="0.25">
      <c r="A208" s="4">
        <f>IFERROR(Merged_data[[#This Row],[BTCUSD_Close]]/Merged_data!D207-1,"")</f>
        <v>3.5500226427157111E-2</v>
      </c>
      <c r="B208" s="4">
        <f>IFERROR(Merged_data[[#This Row],[XAUUSD_Close]]/Merged_data!C207-1, "")</f>
        <v>1.0230378173596177E-2</v>
      </c>
      <c r="C208" s="4">
        <f>IFERROR(Merged_data[[#This Row],[AAPL_Close]]/Merged_data!B207-1,"")</f>
        <v>1.2716763005780285E-2</v>
      </c>
      <c r="D208" s="4">
        <f t="shared" si="3"/>
        <v>1.855724809931969E-2</v>
      </c>
    </row>
    <row r="209" spans="1:4" x14ac:dyDescent="0.25">
      <c r="A209" s="4">
        <f>IFERROR(Merged_data[[#This Row],[BTCUSD_Close]]/Merged_data!D208-1,"")</f>
        <v>-5.7607381428093629E-2</v>
      </c>
      <c r="B209" s="4">
        <f>IFERROR(Merged_data[[#This Row],[XAUUSD_Close]]/Merged_data!C208-1, "")</f>
        <v>-2.2115269170396301E-3</v>
      </c>
      <c r="C209" s="4">
        <f>IFERROR(Merged_data[[#This Row],[AAPL_Close]]/Merged_data!B208-1,"")</f>
        <v>-2.6343519494204104E-3</v>
      </c>
      <c r="D209" s="4">
        <f t="shared" si="3"/>
        <v>-1.8957130780070063E-2</v>
      </c>
    </row>
    <row r="210" spans="1:4" x14ac:dyDescent="0.25">
      <c r="A210" s="4">
        <f>IFERROR(Merged_data[[#This Row],[BTCUSD_Close]]/Merged_data!D209-1,"")</f>
        <v>1.5541542689196497E-2</v>
      </c>
      <c r="B210" s="4">
        <f>IFERROR(Merged_data[[#This Row],[XAUUSD_Close]]/Merged_data!C209-1, "")</f>
        <v>8.2922952366095704E-3</v>
      </c>
      <c r="C210" s="4">
        <f>IFERROR(Merged_data[[#This Row],[AAPL_Close]]/Merged_data!B209-1,"")</f>
        <v>9.4646944884662076E-3</v>
      </c>
      <c r="D210" s="4">
        <f t="shared" si="3"/>
        <v>1.0818789247942639E-2</v>
      </c>
    </row>
    <row r="211" spans="1:4" x14ac:dyDescent="0.25">
      <c r="A211" s="4">
        <f>IFERROR(Merged_data[[#This Row],[BTCUSD_Close]]/Merged_data!D210-1,"")</f>
        <v>-5.1968066519125777E-4</v>
      </c>
      <c r="B211" s="4">
        <f>IFERROR(Merged_data[[#This Row],[XAUUSD_Close]]/Merged_data!C210-1, "")</f>
        <v>1.1167801372253816E-3</v>
      </c>
      <c r="C211" s="4">
        <f>IFERROR(Merged_data[[#This Row],[AAPL_Close]]/Merged_data!B210-1,"")</f>
        <v>5.1458723998081268E-3</v>
      </c>
      <c r="D211" s="4">
        <f t="shared" si="3"/>
        <v>1.8345695752752132E-3</v>
      </c>
    </row>
    <row r="212" spans="1:4" x14ac:dyDescent="0.25">
      <c r="A212" s="4">
        <f>IFERROR(Merged_data[[#This Row],[BTCUSD_Close]]/Merged_data!D211-1,"")</f>
        <v>4.464405776833491E-3</v>
      </c>
      <c r="B212" s="4">
        <f>IFERROR(Merged_data[[#This Row],[XAUUSD_Close]]/Merged_data!C211-1, "")</f>
        <v>5.6335955378625791E-3</v>
      </c>
      <c r="C212" s="4">
        <f>IFERROR(Merged_data[[#This Row],[AAPL_Close]]/Merged_data!B211-1,"")</f>
        <v>8.9808668488871035E-3</v>
      </c>
      <c r="D212" s="4">
        <f t="shared" si="3"/>
        <v>6.2870200028612103E-3</v>
      </c>
    </row>
    <row r="213" spans="1:4" x14ac:dyDescent="0.25">
      <c r="A213" s="4">
        <f>IFERROR(Merged_data[[#This Row],[BTCUSD_Close]]/Merged_data!D212-1,"")</f>
        <v>-3.4351656001499364E-2</v>
      </c>
      <c r="B213" s="4">
        <f>IFERROR(Merged_data[[#This Row],[XAUUSD_Close]]/Merged_data!C212-1, "")</f>
        <v>1.0460645990256534E-2</v>
      </c>
      <c r="C213" s="4">
        <f>IFERROR(Merged_data[[#This Row],[AAPL_Close]]/Merged_data!B212-1,"")</f>
        <v>-1.8059855521156409E-3</v>
      </c>
      <c r="D213" s="4">
        <f t="shared" si="3"/>
        <v>-6.6630340699818883E-3</v>
      </c>
    </row>
    <row r="214" spans="1:4" x14ac:dyDescent="0.25">
      <c r="A214" s="4">
        <f>IFERROR(Merged_data[[#This Row],[BTCUSD_Close]]/Merged_data!D213-1,"")</f>
        <v>2.7726945045194906E-2</v>
      </c>
      <c r="B214" s="4">
        <f>IFERROR(Merged_data[[#This Row],[XAUUSD_Close]]/Merged_data!C213-1, "")</f>
        <v>2.3395624146415939E-2</v>
      </c>
      <c r="C214" s="4">
        <f>IFERROR(Merged_data[[#This Row],[AAPL_Close]]/Merged_data!B213-1,"")</f>
        <v>-1.0424743689153027E-2</v>
      </c>
      <c r="D214" s="4">
        <f t="shared" si="3"/>
        <v>1.454891006537894E-2</v>
      </c>
    </row>
    <row r="215" spans="1:4" x14ac:dyDescent="0.25">
      <c r="A215" s="4">
        <f>IFERROR(Merged_data[[#This Row],[BTCUSD_Close]]/Merged_data!D214-1,"")</f>
        <v>7.518120829511421E-3</v>
      </c>
      <c r="B215" s="4">
        <f>IFERROR(Merged_data[[#This Row],[XAUUSD_Close]]/Merged_data!C214-1, "")</f>
        <v>7.4947815319299504E-3</v>
      </c>
      <c r="C215" s="4">
        <f>IFERROR(Merged_data[[#This Row],[AAPL_Close]]/Merged_data!B214-1,"")</f>
        <v>3.8089848511231095E-2</v>
      </c>
      <c r="D215" s="4">
        <f t="shared" si="3"/>
        <v>1.6680303414994734E-2</v>
      </c>
    </row>
    <row r="216" spans="1:4" x14ac:dyDescent="0.25">
      <c r="A216" s="4">
        <f>IFERROR(Merged_data[[#This Row],[BTCUSD_Close]]/Merged_data!D215-1,"")</f>
        <v>-1.3495903029437484E-2</v>
      </c>
      <c r="B216" s="4">
        <f>IFERROR(Merged_data[[#This Row],[XAUUSD_Close]]/Merged_data!C215-1, "")</f>
        <v>-3.8346951417362884E-3</v>
      </c>
      <c r="C216" s="4">
        <f>IFERROR(Merged_data[[#This Row],[AAPL_Close]]/Merged_data!B215-1,"")</f>
        <v>5.4933534616514734E-3</v>
      </c>
      <c r="D216" s="4">
        <f t="shared" si="3"/>
        <v>-3.9346429270303183E-3</v>
      </c>
    </row>
    <row r="217" spans="1:4" x14ac:dyDescent="0.25">
      <c r="A217" s="4">
        <f>IFERROR(Merged_data[[#This Row],[BTCUSD_Close]]/Merged_data!D216-1,"")</f>
        <v>1.0504695897649352E-2</v>
      </c>
      <c r="B217" s="4">
        <f>IFERROR(Merged_data[[#This Row],[XAUUSD_Close]]/Merged_data!C216-1, "")</f>
        <v>1.3742419179036292E-2</v>
      </c>
      <c r="C217" s="4">
        <f>IFERROR(Merged_data[[#This Row],[AAPL_Close]]/Merged_data!B216-1,"")</f>
        <v>-3.7534406539330156E-4</v>
      </c>
      <c r="D217" s="4">
        <f t="shared" si="3"/>
        <v>8.5357732212913325E-3</v>
      </c>
    </row>
    <row r="218" spans="1:4" x14ac:dyDescent="0.25">
      <c r="A218" s="4">
        <f>IFERROR(Merged_data[[#This Row],[BTCUSD_Close]]/Merged_data!D217-1,"")</f>
        <v>5.9543529453900401E-3</v>
      </c>
      <c r="B218" s="4">
        <f>IFERROR(Merged_data[[#This Row],[XAUUSD_Close]]/Merged_data!C217-1, "")</f>
        <v>1.1498921324121669E-2</v>
      </c>
      <c r="C218" s="4">
        <f>IFERROR(Merged_data[[#This Row],[AAPL_Close]]/Merged_data!B217-1,"")</f>
        <v>-7.5514205849221971E-3</v>
      </c>
      <c r="D218" s="4">
        <f t="shared" si="3"/>
        <v>4.1204482377890216E-3</v>
      </c>
    </row>
    <row r="219" spans="1:4" x14ac:dyDescent="0.25">
      <c r="A219" s="4">
        <f>IFERROR(Merged_data[[#This Row],[BTCUSD_Close]]/Merged_data!D218-1,"")</f>
        <v>-9.1323388044290965E-3</v>
      </c>
      <c r="B219" s="4">
        <f>IFERROR(Merged_data[[#This Row],[XAUUSD_Close]]/Merged_data!C218-1, "")</f>
        <v>-2.7530101594600564E-3</v>
      </c>
      <c r="C219" s="4">
        <f>IFERROR(Merged_data[[#This Row],[AAPL_Close]]/Merged_data!B218-1,"")</f>
        <v>-1.4839414831007258E-2</v>
      </c>
      <c r="D219" s="4">
        <f t="shared" si="3"/>
        <v>-8.2927301544149287E-3</v>
      </c>
    </row>
    <row r="220" spans="1:4" x14ac:dyDescent="0.25">
      <c r="A220" s="4">
        <f>IFERROR(Merged_data[[#This Row],[BTCUSD_Close]]/Merged_data!D219-1,"")</f>
        <v>2.2969404071073063E-2</v>
      </c>
      <c r="B220" s="4">
        <f>IFERROR(Merged_data[[#This Row],[XAUUSD_Close]]/Merged_data!C219-1, "")</f>
        <v>4.0526639474243176E-3</v>
      </c>
      <c r="C220" s="4">
        <f>IFERROR(Merged_data[[#This Row],[AAPL_Close]]/Merged_data!B219-1,"")</f>
        <v>-3.2259441007040812E-2</v>
      </c>
      <c r="D220" s="4">
        <f t="shared" si="3"/>
        <v>-1.1659455018205988E-3</v>
      </c>
    </row>
    <row r="221" spans="1:4" x14ac:dyDescent="0.25">
      <c r="A221" s="4">
        <f>IFERROR(Merged_data[[#This Row],[BTCUSD_Close]]/Merged_data!D220-1,"")</f>
        <v>5.7956251811133175E-3</v>
      </c>
      <c r="B221" s="4">
        <f>IFERROR(Merged_data[[#This Row],[XAUUSD_Close]]/Merged_data!C220-1, "")</f>
        <v>-1.8320627460890471E-3</v>
      </c>
      <c r="C221" s="4">
        <f>IFERROR(Merged_data[[#This Row],[AAPL_Close]]/Merged_data!B220-1,"")</f>
        <v>1.4286344195070466E-2</v>
      </c>
      <c r="D221" s="4">
        <f t="shared" si="3"/>
        <v>5.2917657144195161E-3</v>
      </c>
    </row>
    <row r="222" spans="1:4" x14ac:dyDescent="0.25">
      <c r="A222" s="4">
        <f>IFERROR(Merged_data[[#This Row],[BTCUSD_Close]]/Merged_data!D221-1,"")</f>
        <v>1.8098638891556496E-2</v>
      </c>
      <c r="B222" s="4">
        <f>IFERROR(Merged_data[[#This Row],[XAUUSD_Close]]/Merged_data!C221-1, "")</f>
        <v>2.7930385920884593E-3</v>
      </c>
      <c r="C222" s="4">
        <f>IFERROR(Merged_data[[#This Row],[AAPL_Close]]/Merged_data!B221-1,"")</f>
        <v>1.7562926574794524E-2</v>
      </c>
      <c r="D222" s="4">
        <f t="shared" si="3"/>
        <v>1.181568507674069E-2</v>
      </c>
    </row>
    <row r="223" spans="1:4" x14ac:dyDescent="0.25">
      <c r="A223" s="4">
        <f>IFERROR(Merged_data[[#This Row],[BTCUSD_Close]]/Merged_data!D222-1,"")</f>
        <v>-9.0042191198161925E-3</v>
      </c>
      <c r="B223" s="4">
        <f>IFERROR(Merged_data[[#This Row],[XAUUSD_Close]]/Merged_data!C222-1, "")</f>
        <v>9.6208068470728936E-3</v>
      </c>
      <c r="C223" s="4">
        <f>IFERROR(Merged_data[[#This Row],[AAPL_Close]]/Merged_data!B222-1,"")</f>
        <v>1.1235955056179803E-2</v>
      </c>
      <c r="D223" s="4">
        <f t="shared" si="3"/>
        <v>4.5178435197382408E-3</v>
      </c>
    </row>
    <row r="224" spans="1:4" x14ac:dyDescent="0.25">
      <c r="A224" s="4">
        <f>IFERROR(Merged_data[[#This Row],[BTCUSD_Close]]/Merged_data!D223-1,"")</f>
        <v>1.1119572177705539E-2</v>
      </c>
      <c r="B224" s="4">
        <f>IFERROR(Merged_data[[#This Row],[XAUUSD_Close]]/Merged_data!C223-1, "")</f>
        <v>2.8701540669349157E-3</v>
      </c>
      <c r="C224" s="4">
        <f>IFERROR(Merged_data[[#This Row],[AAPL_Close]]/Merged_data!B223-1,"")</f>
        <v>6.1258977608789067E-3</v>
      </c>
      <c r="D224" s="4">
        <f t="shared" si="3"/>
        <v>6.3217026083493E-3</v>
      </c>
    </row>
    <row r="225" spans="1:4" x14ac:dyDescent="0.25">
      <c r="A225" s="4">
        <f>IFERROR(Merged_data[[#This Row],[BTCUSD_Close]]/Merged_data!D224-1,"")</f>
        <v>-6.4272082295651067E-3</v>
      </c>
      <c r="B225" s="4">
        <f>IFERROR(Merged_data[[#This Row],[XAUUSD_Close]]/Merged_data!C224-1, "")</f>
        <v>-8.1725186019314666E-3</v>
      </c>
      <c r="C225" s="4">
        <f>IFERROR(Merged_data[[#This Row],[AAPL_Close]]/Merged_data!B224-1,"")</f>
        <v>3.5271887465881946E-3</v>
      </c>
      <c r="D225" s="4">
        <f t="shared" si="3"/>
        <v>-4.1390132856656599E-3</v>
      </c>
    </row>
    <row r="226" spans="1:4" x14ac:dyDescent="0.25">
      <c r="A226" s="4">
        <f>IFERROR(Merged_data[[#This Row],[BTCUSD_Close]]/Merged_data!D225-1,"")</f>
        <v>1.0861700661521478E-2</v>
      </c>
      <c r="B226" s="4">
        <f>IFERROR(Merged_data[[#This Row],[XAUUSD_Close]]/Merged_data!C225-1, "")</f>
        <v>-4.1465713934393245E-3</v>
      </c>
      <c r="C226" s="4">
        <f>IFERROR(Merged_data[[#This Row],[AAPL_Close]]/Merged_data!B225-1,"")</f>
        <v>-4.6445457968953274E-3</v>
      </c>
      <c r="D226" s="4">
        <f t="shared" si="3"/>
        <v>2.0651790201211564E-4</v>
      </c>
    </row>
    <row r="227" spans="1:4" x14ac:dyDescent="0.25">
      <c r="A227" s="4">
        <f>IFERROR(Merged_data[[#This Row],[BTCUSD_Close]]/Merged_data!D226-1,"")</f>
        <v>-1.8294605349489124E-2</v>
      </c>
      <c r="B227" s="4">
        <f>IFERROR(Merged_data[[#This Row],[XAUUSD_Close]]/Merged_data!C226-1, "")</f>
        <v>1.0967286097449014E-2</v>
      </c>
      <c r="C227" s="4">
        <f>IFERROR(Merged_data[[#This Row],[AAPL_Close]]/Merged_data!B226-1,"")</f>
        <v>3.2032957793845629E-2</v>
      </c>
      <c r="D227" s="4">
        <f t="shared" si="3"/>
        <v>8.5084201722865575E-3</v>
      </c>
    </row>
    <row r="228" spans="1:4" x14ac:dyDescent="0.25">
      <c r="A228" s="4">
        <f>IFERROR(Merged_data[[#This Row],[BTCUSD_Close]]/Merged_data!D227-1,"")</f>
        <v>-1.8757052339206659E-2</v>
      </c>
      <c r="B228" s="4">
        <f>IFERROR(Merged_data[[#This Row],[XAUUSD_Close]]/Merged_data!C227-1, "")</f>
        <v>1.6842428099754558E-2</v>
      </c>
      <c r="C228" s="4">
        <f>IFERROR(Merged_data[[#This Row],[AAPL_Close]]/Merged_data!B227-1,"")</f>
        <v>4.3095723014256571E-2</v>
      </c>
      <c r="D228" s="4">
        <f t="shared" si="3"/>
        <v>1.4038572442416797E-2</v>
      </c>
    </row>
    <row r="229" spans="1:4" x14ac:dyDescent="0.25">
      <c r="A229" s="4">
        <f>IFERROR(Merged_data[[#This Row],[BTCUSD_Close]]/Merged_data!D228-1,"")</f>
        <v>-7.3596405098673712E-3</v>
      </c>
      <c r="B229" s="4">
        <f>IFERROR(Merged_data[[#This Row],[XAUUSD_Close]]/Merged_data!C228-1, "")</f>
        <v>4.8525290270919896E-3</v>
      </c>
      <c r="C229" s="4">
        <f>IFERROR(Merged_data[[#This Row],[AAPL_Close]]/Merged_data!B228-1,"")</f>
        <v>-6.443298969072031E-3</v>
      </c>
      <c r="D229" s="4">
        <f t="shared" si="3"/>
        <v>-2.1998702328450245E-3</v>
      </c>
    </row>
    <row r="230" spans="1:4" x14ac:dyDescent="0.25">
      <c r="A230" s="4">
        <f>IFERROR(Merged_data[[#This Row],[BTCUSD_Close]]/Merged_data!D229-1,"")</f>
        <v>1.0604453870625585E-2</v>
      </c>
      <c r="B230" s="4">
        <f>IFERROR(Merged_data[[#This Row],[XAUUSD_Close]]/Merged_data!C229-1, "")</f>
        <v>-7.582317753434431E-3</v>
      </c>
      <c r="C230" s="4">
        <f>IFERROR(Merged_data[[#This Row],[AAPL_Close]]/Merged_data!B229-1,"")</f>
        <v>-8.3323507448020973E-3</v>
      </c>
      <c r="D230" s="4">
        <f t="shared" si="3"/>
        <v>-2.351296163626726E-3</v>
      </c>
    </row>
    <row r="231" spans="1:4" x14ac:dyDescent="0.25">
      <c r="A231" s="4">
        <f>IFERROR(Merged_data[[#This Row],[BTCUSD_Close]]/Merged_data!D230-1,"")</f>
        <v>-3.4742123502076616E-2</v>
      </c>
      <c r="B231" s="4">
        <f>IFERROR(Merged_data[[#This Row],[XAUUSD_Close]]/Merged_data!C230-1, "")</f>
        <v>3.5437691625168632E-3</v>
      </c>
      <c r="C231" s="4">
        <f>IFERROR(Merged_data[[#This Row],[AAPL_Close]]/Merged_data!B230-1,"")</f>
        <v>1.807300542982837E-2</v>
      </c>
      <c r="D231" s="4">
        <f t="shared" si="3"/>
        <v>-3.5832277566677281E-3</v>
      </c>
    </row>
    <row r="232" spans="1:4" x14ac:dyDescent="0.25">
      <c r="A232" s="4">
        <f>IFERROR(Merged_data[[#This Row],[BTCUSD_Close]]/Merged_data!D231-1,"")</f>
        <v>-2.2289822503585022E-3</v>
      </c>
      <c r="B232" s="4">
        <f>IFERROR(Merged_data[[#This Row],[XAUUSD_Close]]/Merged_data!C231-1, "")</f>
        <v>4.6247707951325712E-3</v>
      </c>
      <c r="C232" s="4">
        <f>IFERROR(Merged_data[[#This Row],[AAPL_Close]]/Merged_data!B231-1,"")</f>
        <v>-5.4891579398138601E-3</v>
      </c>
      <c r="D232" s="4">
        <f t="shared" si="3"/>
        <v>-4.6553373899868014E-4</v>
      </c>
    </row>
    <row r="233" spans="1:4" x14ac:dyDescent="0.25">
      <c r="A233" s="4">
        <f>IFERROR(Merged_data[[#This Row],[BTCUSD_Close]]/Merged_data!D232-1,"")</f>
        <v>4.6189905056627234E-2</v>
      </c>
      <c r="B233" s="4">
        <f>IFERROR(Merged_data[[#This Row],[XAUUSD_Close]]/Merged_data!C232-1, "")</f>
        <v>1.7719684127947E-2</v>
      </c>
      <c r="C233" s="4">
        <f>IFERROR(Merged_data[[#This Row],[AAPL_Close]]/Merged_data!B232-1,"")</f>
        <v>-4.0319423784546116E-3</v>
      </c>
      <c r="D233" s="4">
        <f t="shared" si="3"/>
        <v>1.9735262454630587E-2</v>
      </c>
    </row>
    <row r="234" spans="1:4" x14ac:dyDescent="0.25">
      <c r="A234" s="4">
        <f>IFERROR(Merged_data[[#This Row],[BTCUSD_Close]]/Merged_data!D233-1,"")</f>
        <v>-3.1504883256905369E-4</v>
      </c>
      <c r="B234" s="4">
        <f>IFERROR(Merged_data[[#This Row],[XAUUSD_Close]]/Merged_data!C233-1, "")</f>
        <v>6.5893474824310072E-3</v>
      </c>
      <c r="C234" s="4">
        <f>IFERROR(Merged_data[[#This Row],[AAPL_Close]]/Merged_data!B233-1,"")</f>
        <v>7.8607082498138858E-4</v>
      </c>
      <c r="D234" s="4">
        <f t="shared" si="3"/>
        <v>2.7770455906961037E-3</v>
      </c>
    </row>
    <row r="235" spans="1:4" x14ac:dyDescent="0.25">
      <c r="A235" s="4">
        <f>IFERROR(Merged_data[[#This Row],[BTCUSD_Close]]/Merged_data!D234-1,"")</f>
        <v>2.9807759647034082E-2</v>
      </c>
      <c r="B235" s="4">
        <f>IFERROR(Merged_data[[#This Row],[XAUUSD_Close]]/Merged_data!C234-1, "")</f>
        <v>1.8205518928557929E-3</v>
      </c>
      <c r="C235" s="4">
        <f>IFERROR(Merged_data[[#This Row],[AAPL_Close]]/Merged_data!B234-1,"")</f>
        <v>3.2203589522050713E-3</v>
      </c>
      <c r="D235" s="4">
        <f t="shared" si="3"/>
        <v>1.0636656336914064E-2</v>
      </c>
    </row>
    <row r="236" spans="1:4" x14ac:dyDescent="0.25">
      <c r="A236" s="4">
        <f>IFERROR(Merged_data[[#This Row],[BTCUSD_Close]]/Merged_data!D235-1,"")</f>
        <v>2.2178396252879651E-2</v>
      </c>
      <c r="B236" s="4">
        <f>IFERROR(Merged_data[[#This Row],[XAUUSD_Close]]/Merged_data!C235-1, "")</f>
        <v>-2.36435667639745E-3</v>
      </c>
      <c r="C236" s="4">
        <f>IFERROR(Merged_data[[#This Row],[AAPL_Close]]/Merged_data!B235-1,"")</f>
        <v>6.5766294773927925E-3</v>
      </c>
      <c r="D236" s="4">
        <f t="shared" si="3"/>
        <v>7.6807650485227526E-3</v>
      </c>
    </row>
    <row r="237" spans="1:4" x14ac:dyDescent="0.25">
      <c r="A237" s="4">
        <f>IFERROR(Merged_data[[#This Row],[BTCUSD_Close]]/Merged_data!D236-1,"")</f>
        <v>2.0233521281373124E-2</v>
      </c>
      <c r="B237" s="4">
        <f>IFERROR(Merged_data[[#This Row],[XAUUSD_Close]]/Merged_data!C236-1, "")</f>
        <v>7.6025416136731305E-3</v>
      </c>
      <c r="C237" s="4">
        <f>IFERROR(Merged_data[[#This Row],[AAPL_Close]]/Merged_data!B236-1,"")</f>
        <v>3.4612841753198786E-3</v>
      </c>
      <c r="D237" s="4">
        <f t="shared" si="3"/>
        <v>1.0149458282477153E-2</v>
      </c>
    </row>
    <row r="238" spans="1:4" x14ac:dyDescent="0.25">
      <c r="A238" s="4">
        <f>IFERROR(Merged_data[[#This Row],[BTCUSD_Close]]/Merged_data!D237-1,"")</f>
        <v>2.0329477742726976E-2</v>
      </c>
      <c r="B238" s="4">
        <f>IFERROR(Merged_data[[#This Row],[XAUUSD_Close]]/Merged_data!C237-1, "")</f>
        <v>1.907653904797435E-2</v>
      </c>
      <c r="C238" s="4">
        <f>IFERROR(Merged_data[[#This Row],[AAPL_Close]]/Merged_data!B237-1,"")</f>
        <v>-5.1546391752577136E-3</v>
      </c>
      <c r="D238" s="4">
        <f t="shared" si="3"/>
        <v>1.2183067189430519E-2</v>
      </c>
    </row>
    <row r="239" spans="1:4" x14ac:dyDescent="0.25">
      <c r="A239" s="4">
        <f>IFERROR(Merged_data[[#This Row],[BTCUSD_Close]]/Merged_data!D238-1,"")</f>
        <v>-2.4542033825185938E-2</v>
      </c>
      <c r="B239" s="4">
        <f>IFERROR(Merged_data[[#This Row],[XAUUSD_Close]]/Merged_data!C238-1, "")</f>
        <v>6.2600140654611725E-3</v>
      </c>
      <c r="C239" s="4">
        <f>IFERROR(Merged_data[[#This Row],[AAPL_Close]]/Merged_data!B238-1,"")</f>
        <v>-8.1810744477761599E-4</v>
      </c>
      <c r="D239" s="4">
        <f t="shared" si="3"/>
        <v>-5.1040367548045975E-3</v>
      </c>
    </row>
    <row r="240" spans="1:4" x14ac:dyDescent="0.25">
      <c r="A240" s="4">
        <f>IFERROR(Merged_data[[#This Row],[BTCUSD_Close]]/Merged_data!D239-1,"")</f>
        <v>9.9999181005887561E-3</v>
      </c>
      <c r="B240" s="4">
        <f>IFERROR(Merged_data[[#This Row],[XAUUSD_Close]]/Merged_data!C239-1, "")</f>
        <v>1.4094651109390899E-2</v>
      </c>
      <c r="C240" s="4">
        <f>IFERROR(Merged_data[[#This Row],[AAPL_Close]]/Merged_data!B239-1,"")</f>
        <v>6.1603243917653927E-3</v>
      </c>
      <c r="D240" s="4">
        <f t="shared" si="3"/>
        <v>1.0485933191462604E-2</v>
      </c>
    </row>
    <row r="241" spans="1:4" x14ac:dyDescent="0.25">
      <c r="A241" s="4">
        <f>IFERROR(Merged_data[[#This Row],[BTCUSD_Close]]/Merged_data!D240-1,"")</f>
        <v>-1.4498629603801438E-2</v>
      </c>
      <c r="B241" s="4">
        <f>IFERROR(Merged_data[[#This Row],[XAUUSD_Close]]/Merged_data!C240-1, "")</f>
        <v>-1.5825251607890167E-2</v>
      </c>
      <c r="C241" s="4">
        <f>IFERROR(Merged_data[[#This Row],[AAPL_Close]]/Merged_data!B240-1,"")</f>
        <v>-1.5577772611020779E-2</v>
      </c>
      <c r="D241" s="4">
        <f t="shared" si="3"/>
        <v>-1.5353021307602731E-2</v>
      </c>
    </row>
    <row r="242" spans="1:4" x14ac:dyDescent="0.25">
      <c r="A242" s="4">
        <f>IFERROR(Merged_data[[#This Row],[BTCUSD_Close]]/Merged_data!D241-1,"")</f>
        <v>-3.9108397650040372E-2</v>
      </c>
      <c r="B242" s="4">
        <f>IFERROR(Merged_data[[#This Row],[XAUUSD_Close]]/Merged_data!C241-1, "")</f>
        <v>8.4522235017827629E-3</v>
      </c>
      <c r="C242" s="4">
        <f>IFERROR(Merged_data[[#This Row],[AAPL_Close]]/Merged_data!B241-1,"")</f>
        <v>-3.4522122500393548E-2</v>
      </c>
      <c r="D242" s="4">
        <f t="shared" si="3"/>
        <v>-1.8708266644417069E-2</v>
      </c>
    </row>
    <row r="243" spans="1:4" x14ac:dyDescent="0.25">
      <c r="A243" s="4">
        <f>IFERROR(Merged_data[[#This Row],[BTCUSD_Close]]/Merged_data!D242-1,"")</f>
        <v>-8.3660869490755907E-3</v>
      </c>
      <c r="B243" s="4">
        <f>IFERROR(Merged_data[[#This Row],[XAUUSD_Close]]/Merged_data!C242-1, "")</f>
        <v>2.4822504939941314E-2</v>
      </c>
      <c r="C243" s="4">
        <f>IFERROR(Merged_data[[#This Row],[AAPL_Close]]/Merged_data!B242-1,"")</f>
        <v>9.7443633546703268E-3</v>
      </c>
      <c r="D243" s="4">
        <f t="shared" si="3"/>
        <v>1.0342484897654948E-2</v>
      </c>
    </row>
    <row r="244" spans="1:4" x14ac:dyDescent="0.25">
      <c r="A244" s="4">
        <f>IFERROR(Merged_data[[#This Row],[BTCUSD_Close]]/Merged_data!D243-1,"")</f>
        <v>-2.2520811025525833E-2</v>
      </c>
      <c r="B244" s="4">
        <f>IFERROR(Merged_data[[#This Row],[XAUUSD_Close]]/Merged_data!C243-1, "")</f>
        <v>7.7246285487673205E-3</v>
      </c>
      <c r="C244" s="4">
        <f>IFERROR(Merged_data[[#This Row],[AAPL_Close]]/Merged_data!B243-1,"")</f>
        <v>4.4415731244451528E-4</v>
      </c>
      <c r="D244" s="4">
        <f t="shared" si="3"/>
        <v>-3.5331446944174665E-3</v>
      </c>
    </row>
    <row r="245" spans="1:4" x14ac:dyDescent="0.25">
      <c r="A245" s="4">
        <f>IFERROR(Merged_data[[#This Row],[BTCUSD_Close]]/Merged_data!D244-1,"")</f>
        <v>-2.0407081522315296E-2</v>
      </c>
      <c r="B245" s="4">
        <f>IFERROR(Merged_data[[#This Row],[XAUUSD_Close]]/Merged_data!C244-1, "")</f>
        <v>1.5951308311483947E-2</v>
      </c>
      <c r="C245" s="4">
        <f>IFERROR(Merged_data[[#This Row],[AAPL_Close]]/Merged_data!B244-1,"")</f>
        <v>6.336521774226167E-3</v>
      </c>
      <c r="D245" s="4">
        <f t="shared" si="3"/>
        <v>2.1593554001668406E-3</v>
      </c>
    </row>
    <row r="246" spans="1:4" x14ac:dyDescent="0.25">
      <c r="A246" s="4">
        <f>IFERROR(Merged_data[[#This Row],[BTCUSD_Close]]/Merged_data!D245-1,"")</f>
        <v>-2.1634832169976415E-2</v>
      </c>
      <c r="B246" s="4">
        <f>IFERROR(Merged_data[[#This Row],[XAUUSD_Close]]/Merged_data!C245-1, "")</f>
        <v>2.8523900619051412E-2</v>
      </c>
      <c r="C246" s="4">
        <f>IFERROR(Merged_data[[#This Row],[AAPL_Close]]/Merged_data!B245-1,"")</f>
        <v>-7.5800112296463551E-3</v>
      </c>
      <c r="D246" s="4">
        <f t="shared" si="3"/>
        <v>2.6451072277337349E-3</v>
      </c>
    </row>
    <row r="247" spans="1:4" x14ac:dyDescent="0.25">
      <c r="A247" s="4">
        <f>IFERROR(Merged_data[[#This Row],[BTCUSD_Close]]/Merged_data!D246-1,"")</f>
        <v>-1.8499912431904297E-2</v>
      </c>
      <c r="B247" s="4">
        <f>IFERROR(Merged_data[[#This Row],[XAUUSD_Close]]/Merged_data!C246-1, "")</f>
        <v>-2.3727611319568909E-2</v>
      </c>
      <c r="C247" s="4">
        <f>IFERROR(Merged_data[[#This Row],[AAPL_Close]]/Merged_data!B246-1,"")</f>
        <v>1.9559506971105201E-2</v>
      </c>
      <c r="D247" s="4">
        <f t="shared" si="3"/>
        <v>-9.1731661660672918E-3</v>
      </c>
    </row>
    <row r="248" spans="1:4" x14ac:dyDescent="0.25">
      <c r="A248" s="4">
        <f>IFERROR(Merged_data[[#This Row],[BTCUSD_Close]]/Merged_data!D247-1,"")</f>
        <v>3.8758452291510093E-2</v>
      </c>
      <c r="B248" s="4">
        <f>IFERROR(Merged_data[[#This Row],[XAUUSD_Close]]/Merged_data!C247-1, "")</f>
        <v>3.0928542606176501E-2</v>
      </c>
      <c r="C248" s="4">
        <f>IFERROR(Merged_data[[#This Row],[AAPL_Close]]/Merged_data!B247-1,"")</f>
        <v>3.943874113123802E-2</v>
      </c>
      <c r="D248" s="4">
        <f t="shared" si="3"/>
        <v>3.5830575069295031E-2</v>
      </c>
    </row>
    <row r="249" spans="1:4" x14ac:dyDescent="0.25">
      <c r="A249" s="4">
        <f>IFERROR(Merged_data[[#This Row],[BTCUSD_Close]]/Merged_data!D248-1,"")</f>
        <v>2.9292901895900947E-3</v>
      </c>
      <c r="B249" s="4">
        <f>IFERROR(Merged_data[[#This Row],[XAUUSD_Close]]/Merged_data!C248-1, "")</f>
        <v>-5.30868420388102E-2</v>
      </c>
      <c r="C249" s="4">
        <f>IFERROR(Merged_data[[#This Row],[AAPL_Close]]/Merged_data!B248-1,"")</f>
        <v>2.0210494203782847E-3</v>
      </c>
      <c r="D249" s="4">
        <f t="shared" si="3"/>
        <v>-1.9749634932533566E-2</v>
      </c>
    </row>
    <row r="250" spans="1:4" x14ac:dyDescent="0.25">
      <c r="A250" s="4">
        <f>IFERROR(Merged_data[[#This Row],[BTCUSD_Close]]/Merged_data!D249-1,"")</f>
        <v>-3.335406694251386E-2</v>
      </c>
      <c r="B250" s="4">
        <f>IFERROR(Merged_data[[#This Row],[XAUUSD_Close]]/Merged_data!C249-1, "")</f>
        <v>-6.4196740706260469E-3</v>
      </c>
      <c r="C250" s="4">
        <f>IFERROR(Merged_data[[#This Row],[AAPL_Close]]/Merged_data!B249-1,"")</f>
        <v>-1.6440232903299434E-2</v>
      </c>
      <c r="D250" s="4">
        <f t="shared" si="3"/>
        <v>-1.7506159581994408E-2</v>
      </c>
    </row>
    <row r="251" spans="1:4" x14ac:dyDescent="0.25">
      <c r="A251" s="4">
        <f>IFERROR(Merged_data[[#This Row],[BTCUSD_Close]]/Merged_data!D250-1,"")</f>
        <v>2.2008560957185841E-2</v>
      </c>
      <c r="B251" s="4">
        <f>IFERROR(Merged_data[[#This Row],[XAUUSD_Close]]/Merged_data!C250-1, "")</f>
        <v>6.9125548392763303E-3</v>
      </c>
      <c r="C251" s="4">
        <f>IFERROR(Merged_data[[#This Row],[AAPL_Close]]/Merged_data!B250-1,"")</f>
        <v>4.3722189978718795E-3</v>
      </c>
      <c r="D251" s="4">
        <f t="shared" si="3"/>
        <v>1.0679255922227848E-2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A834-0C33-470D-9481-B9E903AF12E2}">
  <dimension ref="A1:W251"/>
  <sheetViews>
    <sheetView topLeftCell="B1" zoomScale="80" zoomScaleNormal="80" workbookViewId="0">
      <selection activeCell="W4" sqref="W4"/>
    </sheetView>
  </sheetViews>
  <sheetFormatPr defaultRowHeight="15" x14ac:dyDescent="0.25"/>
  <cols>
    <col min="1" max="1" width="10.85546875" style="4" bestFit="1" customWidth="1"/>
    <col min="2" max="2" width="11.85546875" bestFit="1" customWidth="1"/>
    <col min="3" max="3" width="12.140625" style="4" bestFit="1" customWidth="1"/>
    <col min="4" max="4" width="15" style="4" customWidth="1"/>
    <col min="7" max="7" width="9.7109375" customWidth="1"/>
    <col min="18" max="18" width="11.85546875" bestFit="1" customWidth="1"/>
    <col min="19" max="19" width="11.85546875" customWidth="1"/>
    <col min="20" max="20" width="15.7109375" bestFit="1" customWidth="1"/>
    <col min="21" max="21" width="13.5703125" bestFit="1" customWidth="1"/>
    <col min="22" max="22" width="12" bestFit="1" customWidth="1"/>
    <col min="23" max="23" width="10.28515625" customWidth="1"/>
  </cols>
  <sheetData>
    <row r="1" spans="1:23" x14ac:dyDescent="0.25">
      <c r="A1" s="5" t="s">
        <v>66</v>
      </c>
      <c r="B1" s="3" t="s">
        <v>67</v>
      </c>
      <c r="C1" s="5" t="s">
        <v>1</v>
      </c>
      <c r="D1" s="5" t="s">
        <v>7</v>
      </c>
      <c r="E1" s="5" t="s">
        <v>40</v>
      </c>
      <c r="F1" s="5"/>
      <c r="G1" s="5"/>
      <c r="H1" s="5" t="s">
        <v>46</v>
      </c>
      <c r="I1" s="5"/>
      <c r="J1" s="5"/>
      <c r="K1" s="5"/>
      <c r="L1" s="5" t="s">
        <v>51</v>
      </c>
      <c r="M1" s="5"/>
      <c r="N1" s="5"/>
      <c r="O1" s="36" t="s">
        <v>52</v>
      </c>
      <c r="P1" s="36"/>
      <c r="Q1" s="36"/>
      <c r="R1" s="5" t="s">
        <v>54</v>
      </c>
      <c r="S1" s="5" t="s">
        <v>53</v>
      </c>
      <c r="T1" s="3" t="s">
        <v>6</v>
      </c>
      <c r="U1" s="3" t="s">
        <v>3</v>
      </c>
      <c r="V1" s="3" t="s">
        <v>4</v>
      </c>
      <c r="W1" s="3" t="s">
        <v>5</v>
      </c>
    </row>
    <row r="2" spans="1:23" x14ac:dyDescent="0.25">
      <c r="E2" s="9" t="s">
        <v>41</v>
      </c>
      <c r="F2" s="9" t="s">
        <v>42</v>
      </c>
      <c r="G2" s="9" t="s">
        <v>43</v>
      </c>
      <c r="H2" s="9" t="s">
        <v>41</v>
      </c>
      <c r="I2" s="9" t="s">
        <v>42</v>
      </c>
      <c r="J2" s="9" t="s">
        <v>43</v>
      </c>
      <c r="K2" s="9"/>
      <c r="L2" s="7" t="s">
        <v>3</v>
      </c>
      <c r="M2" s="7" t="s">
        <v>4</v>
      </c>
      <c r="N2" s="7" t="s">
        <v>5</v>
      </c>
      <c r="O2" s="7" t="s">
        <v>3</v>
      </c>
      <c r="P2" s="7" t="s">
        <v>4</v>
      </c>
      <c r="Q2" s="7" t="s">
        <v>5</v>
      </c>
      <c r="R2" s="7"/>
      <c r="S2" s="7"/>
      <c r="T2" s="7" t="s">
        <v>2</v>
      </c>
      <c r="U2" s="7">
        <v>0.3</v>
      </c>
      <c r="V2" s="7">
        <v>0.4</v>
      </c>
      <c r="W2" s="7">
        <v>0.3</v>
      </c>
    </row>
    <row r="3" spans="1:23" x14ac:dyDescent="0.25">
      <c r="A3" s="4">
        <f>IFERROR(Merged_data[[#This Row],[BTCUSD_Close]]/Merged_data!D2-1,"")</f>
        <v>-2.2252673248773225E-2</v>
      </c>
      <c r="B3" s="4">
        <f>IFERROR(Merged_data[[#This Row],[XAUUSD_Close]]/Merged_data!C2-1, "")</f>
        <v>2.3940189730571326E-3</v>
      </c>
      <c r="C3" s="4">
        <f>IFERROR(Merged_data[[#This Row],[AAPL_Close]]/Merged_data!B2-1,"")</f>
        <v>3.6424647054731363E-3</v>
      </c>
      <c r="D3" s="4">
        <f>SUMPRODUCT(A3:C3,$U$2:$W$2)</f>
        <v>-4.6254549737671739E-3</v>
      </c>
      <c r="E3">
        <f ca="1">_xlfn.NORM.S.INV(RAND())</f>
        <v>-0.55641558435636096</v>
      </c>
      <c r="F3">
        <f ca="1">_xlfn.NORM.S.INV(RAND())</f>
        <v>0.26669989925676524</v>
      </c>
      <c r="G3">
        <f ca="1">_xlfn.NORM.S.INV(RAND())</f>
        <v>-0.35996750287433843</v>
      </c>
      <c r="H3" cm="1">
        <f t="array" aca="1" ref="H3:J251" ca="1">TRANSPOSE(MMULT(U11:W13,TRANSPOSE(E3:G251)))</f>
        <v>-0.55641558435636096</v>
      </c>
      <c r="I3">
        <f ca="1"/>
        <v>0.23711828988793573</v>
      </c>
      <c r="J3">
        <f ca="1"/>
        <v>-0.49802301407345984</v>
      </c>
      <c r="K3">
        <v>1</v>
      </c>
      <c r="L3">
        <f ca="1">$U$18*EXP(($U$16-(($U$17)^2/2))*K3/249+$U$17*H3)</f>
        <v>108362.89085342709</v>
      </c>
      <c r="M3">
        <f ca="1">$V$18*EXP(($V$16-(($V$17)^2/2))*K3/249+$V$17*I3)</f>
        <v>4132.7801039412025</v>
      </c>
      <c r="N3">
        <f ca="1">$W$18*EXP(($W$16-(($W$17)^2/2))*K3/249+$W$17*J3)</f>
        <v>258.63150287996677</v>
      </c>
      <c r="T3" t="s">
        <v>16</v>
      </c>
      <c r="U3" s="12">
        <v>300000</v>
      </c>
      <c r="V3" s="12">
        <v>400000</v>
      </c>
      <c r="W3" s="12">
        <v>300000</v>
      </c>
    </row>
    <row r="4" spans="1:23" x14ac:dyDescent="0.25">
      <c r="A4" s="4">
        <f>IFERROR(Merged_data[[#This Row],[BTCUSD_Close]]/Merged_data!D3-1,"")</f>
        <v>4.6813423092126438E-2</v>
      </c>
      <c r="B4" s="4">
        <f>IFERROR(Merged_data[[#This Row],[XAUUSD_Close]]/Merged_data!C3-1, "")</f>
        <v>-1.130341089539133E-4</v>
      </c>
      <c r="C4" s="4">
        <f>IFERROR(Merged_data[[#This Row],[AAPL_Close]]/Merged_data!B3-1,"")</f>
        <v>8.596720686698367E-3</v>
      </c>
      <c r="D4" s="4">
        <f t="shared" ref="D4:D67" si="0">SUMPRODUCT(A4:C4,$U$2:$W$2)</f>
        <v>1.6577829490065876E-2</v>
      </c>
      <c r="E4">
        <f t="shared" ref="E4:G67" ca="1" si="1">_xlfn.NORM.S.INV(RAND())</f>
        <v>-0.14359533161843466</v>
      </c>
      <c r="F4">
        <f t="shared" ca="1" si="1"/>
        <v>1.4829434127809962</v>
      </c>
      <c r="G4">
        <f t="shared" ca="1" si="1"/>
        <v>0.91432195698081076</v>
      </c>
      <c r="H4">
        <f ca="1"/>
        <v>-0.14359533161843466</v>
      </c>
      <c r="I4">
        <f ca="1"/>
        <v>1.4733587926970879</v>
      </c>
      <c r="J4">
        <f ca="1"/>
        <v>0.83618321306551158</v>
      </c>
      <c r="K4">
        <v>2</v>
      </c>
      <c r="L4">
        <f t="shared" ref="L4:L67" ca="1" si="2">$U$18*EXP(($U$16-(($U$17)^2/2))*K4/249+$U$17*H4)</f>
        <v>109582.26372644963</v>
      </c>
      <c r="M4">
        <f t="shared" ref="M4:M67" ca="1" si="3">$V$18*EXP(($V$16-(($V$17)^2/2))*K4/249+$V$17*I4)</f>
        <v>4195.5724654337282</v>
      </c>
      <c r="N4">
        <f t="shared" ref="N4:N67" ca="1" si="4">$W$18*EXP(($W$16-(($W$17)^2/2))*K4/249+$W$17*J4)</f>
        <v>265.84165312887376</v>
      </c>
      <c r="O4" s="4">
        <f ca="1">LN(L4/L3)</f>
        <v>1.1189839010094649E-2</v>
      </c>
      <c r="P4" s="4">
        <f ca="1">LN(M4/M3)</f>
        <v>1.5079465195376264E-2</v>
      </c>
      <c r="Q4" s="4">
        <f ca="1">LN(N4/N3)</f>
        <v>2.7496562737925549E-2</v>
      </c>
      <c r="R4" s="4" cm="1">
        <f t="array" aca="1" ref="R4" ca="1">_xlfn._xlws.SORT(SUMPRODUCT($U$2:$W$2,O4:Q4))</f>
        <v>1.7637706602556563E-2</v>
      </c>
      <c r="S4" s="4" cm="1">
        <f t="array" aca="1" ref="S4:S251" ca="1">_xlfn._xlws.SORT(R4:R251)</f>
        <v>-5.3827014351449112E-2</v>
      </c>
    </row>
    <row r="5" spans="1:23" x14ac:dyDescent="0.25">
      <c r="A5" s="4">
        <f>IFERROR(Merged_data[[#This Row],[BTCUSD_Close]]/Merged_data!D4-1,"")</f>
        <v>3.8675265938045822E-2</v>
      </c>
      <c r="B5" s="4">
        <f>IFERROR(Merged_data[[#This Row],[XAUUSD_Close]]/Merged_data!C4-1, "")</f>
        <v>1.1835279745462168E-2</v>
      </c>
      <c r="C5" s="4">
        <f>IFERROR(Merged_data[[#This Row],[AAPL_Close]]/Merged_data!B4-1,"")</f>
        <v>1.1593605482487224E-3</v>
      </c>
      <c r="D5" s="4">
        <f t="shared" si="0"/>
        <v>1.668449984407323E-2</v>
      </c>
      <c r="E5">
        <f t="shared" ca="1" si="1"/>
        <v>1.2416172436141804</v>
      </c>
      <c r="F5">
        <f t="shared" ca="1" si="1"/>
        <v>-0.76004825600913228</v>
      </c>
      <c r="G5">
        <f t="shared" ca="1" si="1"/>
        <v>-1.7264542674678118</v>
      </c>
      <c r="H5">
        <f ca="1"/>
        <v>1.2416172436141804</v>
      </c>
      <c r="I5">
        <f ca="1"/>
        <v>-0.69381071162276786</v>
      </c>
      <c r="J5">
        <f ca="1"/>
        <v>-1.3234332514467759</v>
      </c>
      <c r="K5">
        <v>3</v>
      </c>
      <c r="L5">
        <f t="shared" ca="1" si="2"/>
        <v>113775.40325862168</v>
      </c>
      <c r="M5">
        <f t="shared" ca="1" si="3"/>
        <v>4086.1131273465935</v>
      </c>
      <c r="N5">
        <f t="shared" ca="1" si="4"/>
        <v>254.26860912846237</v>
      </c>
      <c r="O5" s="4">
        <f t="shared" ref="O5:O68" ca="1" si="5">LN(L5/L4)</f>
        <v>3.755082414313908E-2</v>
      </c>
      <c r="P5" s="4">
        <f t="shared" ref="P5:P68" ca="1" si="6">LN(M5/M4)</f>
        <v>-2.6435611771985664E-2</v>
      </c>
      <c r="Q5" s="4">
        <f t="shared" ref="Q5:Q68" ca="1" si="7">LN(N5/N4)</f>
        <v>-4.4509618041742936E-2</v>
      </c>
      <c r="R5" s="4" cm="1">
        <f t="array" aca="1" ref="R5" ca="1">_xlfn._xlws.SORT(SUMPRODUCT($U$2:$W$2,O5:Q5))</f>
        <v>-1.2661882878375424E-2</v>
      </c>
      <c r="S5" s="4">
        <f ca="1"/>
        <v>-4.9165113850848874E-2</v>
      </c>
      <c r="T5" s="3" t="s">
        <v>44</v>
      </c>
      <c r="U5" s="7" t="s">
        <v>3</v>
      </c>
      <c r="V5" s="7" t="s">
        <v>4</v>
      </c>
      <c r="W5" s="7" t="s">
        <v>5</v>
      </c>
    </row>
    <row r="6" spans="1:23" x14ac:dyDescent="0.25">
      <c r="A6" s="4">
        <f>IFERROR(Merged_data[[#This Row],[BTCUSD_Close]]/Merged_data!D5-1,"")</f>
        <v>-3.3353163455288604E-3</v>
      </c>
      <c r="B6" s="4">
        <f>IFERROR(Merged_data[[#This Row],[XAUUSD_Close]]/Merged_data!C5-1, "")</f>
        <v>4.6527887900587039E-3</v>
      </c>
      <c r="C6" s="4">
        <f>IFERROR(Merged_data[[#This Row],[AAPL_Close]]/Merged_data!B5-1,"")</f>
        <v>-1.5277259528986953E-2</v>
      </c>
      <c r="D6" s="4">
        <f t="shared" si="0"/>
        <v>-3.7226572463312617E-3</v>
      </c>
      <c r="E6">
        <f t="shared" ca="1" si="1"/>
        <v>1.4178784819140418</v>
      </c>
      <c r="F6">
        <f t="shared" ca="1" si="1"/>
        <v>-2.12064930463599</v>
      </c>
      <c r="G6">
        <f t="shared" ca="1" si="1"/>
        <v>-0.69201789089897858</v>
      </c>
      <c r="H6">
        <f ca="1"/>
        <v>1.4178784819140418</v>
      </c>
      <c r="I6">
        <f ca="1"/>
        <v>-2.043280807873967</v>
      </c>
      <c r="J6">
        <f ca="1"/>
        <v>-0.27515238648297069</v>
      </c>
      <c r="K6">
        <v>4</v>
      </c>
      <c r="L6">
        <f t="shared" ca="1" si="2"/>
        <v>114320.19292656067</v>
      </c>
      <c r="M6">
        <f t="shared" ca="1" si="3"/>
        <v>4019.4011982474585</v>
      </c>
      <c r="N6">
        <f t="shared" ca="1" si="4"/>
        <v>259.82153426983183</v>
      </c>
      <c r="O6" s="4">
        <f t="shared" ca="1" si="5"/>
        <v>4.7768629731275774E-3</v>
      </c>
      <c r="P6" s="4">
        <f t="shared" ca="1" si="6"/>
        <v>-1.6461246711346599E-2</v>
      </c>
      <c r="Q6" s="4">
        <f t="shared" ca="1" si="7"/>
        <v>2.1603764180209734E-2</v>
      </c>
      <c r="R6" s="4" cm="1">
        <f t="array" aca="1" ref="R6" ca="1">_xlfn._xlws.SORT(SUMPRODUCT($U$2:$W$2,O6:Q6))</f>
        <v>1.3296894614625533E-3</v>
      </c>
      <c r="S6" s="4">
        <f ca="1"/>
        <v>-3.8198470228176691E-2</v>
      </c>
      <c r="T6" s="7" t="s">
        <v>3</v>
      </c>
      <c r="U6" s="21">
        <v>1</v>
      </c>
      <c r="V6" s="21">
        <f>U7</f>
        <v>5.2503491672766314E-2</v>
      </c>
      <c r="W6" s="21">
        <f>U8</f>
        <v>0.27058080699198822</v>
      </c>
    </row>
    <row r="7" spans="1:23" x14ac:dyDescent="0.25">
      <c r="A7" s="4">
        <f>IFERROR(Merged_data[[#This Row],[BTCUSD_Close]]/Merged_data!D6-1,"")</f>
        <v>-2.7671310100505053E-2</v>
      </c>
      <c r="B7" s="4">
        <f>IFERROR(Merged_data[[#This Row],[XAUUSD_Close]]/Merged_data!C6-1, "")</f>
        <v>-1.4846157433482055E-2</v>
      </c>
      <c r="C7" s="4">
        <f>IFERROR(Merged_data[[#This Row],[AAPL_Close]]/Merged_data!B6-1,"")</f>
        <v>-1.8210326879940841E-2</v>
      </c>
      <c r="D7" s="4">
        <f t="shared" si="0"/>
        <v>-1.970295406752659E-2</v>
      </c>
      <c r="E7">
        <f t="shared" ca="1" si="1"/>
        <v>-0.38783667383635817</v>
      </c>
      <c r="F7">
        <f t="shared" ca="1" si="1"/>
        <v>0.84566581999720292</v>
      </c>
      <c r="G7">
        <f t="shared" ca="1" si="1"/>
        <v>-1.9885210848484842</v>
      </c>
      <c r="H7">
        <f ca="1"/>
        <v>-0.38783667383635817</v>
      </c>
      <c r="I7">
        <f ca="1"/>
        <v>0.824136647808272</v>
      </c>
      <c r="J7">
        <f ca="1"/>
        <v>-2.0222218706849935</v>
      </c>
      <c r="K7">
        <v>5</v>
      </c>
      <c r="L7">
        <f t="shared" ca="1" si="2"/>
        <v>108858.60817222072</v>
      </c>
      <c r="M7">
        <f t="shared" ca="1" si="3"/>
        <v>4162.474097878091</v>
      </c>
      <c r="N7">
        <f t="shared" ca="1" si="4"/>
        <v>250.6325158905984</v>
      </c>
      <c r="O7" s="4">
        <f t="shared" ca="1" si="5"/>
        <v>-4.8953353780912284E-2</v>
      </c>
      <c r="P7" s="4">
        <f t="shared" ca="1" si="6"/>
        <v>3.4976696679113475E-2</v>
      </c>
      <c r="Q7" s="4">
        <f t="shared" ca="1" si="7"/>
        <v>-3.6007202474029325E-2</v>
      </c>
      <c r="R7" s="4" cm="1">
        <f t="array" aca="1" ref="R7" ca="1">_xlfn._xlws.SORT(SUMPRODUCT($U$2:$W$2,O7:Q7))</f>
        <v>-1.149748820483709E-2</v>
      </c>
      <c r="S7" s="4">
        <f ca="1"/>
        <v>-3.5639033690508214E-2</v>
      </c>
      <c r="T7" s="7" t="s">
        <v>4</v>
      </c>
      <c r="U7" s="21">
        <v>5.2503491672766314E-2</v>
      </c>
      <c r="V7" s="21">
        <v>1</v>
      </c>
      <c r="W7" s="21">
        <f>V8</f>
        <v>1.0723509474504588E-2</v>
      </c>
    </row>
    <row r="8" spans="1:23" ht="15.75" thickBot="1" x14ac:dyDescent="0.3">
      <c r="A8" s="4">
        <f>IFERROR(Merged_data[[#This Row],[BTCUSD_Close]]/Merged_data!D7-1,"")</f>
        <v>-1.6758109415832001E-2</v>
      </c>
      <c r="B8" s="4">
        <f>IFERROR(Merged_data[[#This Row],[XAUUSD_Close]]/Merged_data!C7-1, "")</f>
        <v>-3.5285057015044252E-3</v>
      </c>
      <c r="C8" s="4">
        <f>IFERROR(Merged_data[[#This Row],[AAPL_Close]]/Merged_data!B7-1,"")</f>
        <v>-1.3282227368308974E-2</v>
      </c>
      <c r="D8" s="4">
        <f t="shared" si="0"/>
        <v>-1.0423503315844063E-2</v>
      </c>
      <c r="E8">
        <f t="shared" ca="1" si="1"/>
        <v>0.2980595338267723</v>
      </c>
      <c r="F8">
        <f t="shared" ca="1" si="1"/>
        <v>0.16743227377479172</v>
      </c>
      <c r="G8">
        <f t="shared" ca="1" si="1"/>
        <v>0.96268134799316696</v>
      </c>
      <c r="H8">
        <f ca="1"/>
        <v>0.2980595338267723</v>
      </c>
      <c r="I8">
        <f ca="1"/>
        <v>0.18285050747329645</v>
      </c>
      <c r="J8">
        <f ca="1"/>
        <v>1.0068298493885721</v>
      </c>
      <c r="K8">
        <v>6</v>
      </c>
      <c r="L8">
        <f t="shared" ca="1" si="2"/>
        <v>110901.52388234898</v>
      </c>
      <c r="M8">
        <f t="shared" ca="1" si="3"/>
        <v>4130.0390922110491</v>
      </c>
      <c r="N8">
        <f t="shared" ca="1" si="4"/>
        <v>266.77734176802767</v>
      </c>
      <c r="O8" s="4">
        <f t="shared" ca="1" si="5"/>
        <v>1.859276787064695E-2</v>
      </c>
      <c r="P8" s="4">
        <f t="shared" ca="1" si="6"/>
        <v>-7.8227602006620683E-3</v>
      </c>
      <c r="Q8" s="4">
        <f t="shared" ca="1" si="7"/>
        <v>6.2426598326015756E-2</v>
      </c>
      <c r="R8" s="4" cm="1">
        <f t="array" aca="1" ref="R8" ca="1">_xlfn._xlws.SORT(SUMPRODUCT($U$2:$W$2,O8:Q8))</f>
        <v>2.1176705778733984E-2</v>
      </c>
      <c r="S8" s="4">
        <f ca="1"/>
        <v>-3.5391781744168176E-2</v>
      </c>
      <c r="T8" s="7" t="s">
        <v>5</v>
      </c>
      <c r="U8" s="22">
        <v>0.27058080699198822</v>
      </c>
      <c r="V8" s="22">
        <v>1.0723509474504588E-2</v>
      </c>
      <c r="W8" s="22">
        <v>1</v>
      </c>
    </row>
    <row r="9" spans="1:23" x14ac:dyDescent="0.25">
      <c r="A9" s="4">
        <f>IFERROR(Merged_data[[#This Row],[BTCUSD_Close]]/Merged_data!D8-1,"")</f>
        <v>-1.8892193673890167E-2</v>
      </c>
      <c r="B9" s="4">
        <f>IFERROR(Merged_data[[#This Row],[XAUUSD_Close]]/Merged_data!C8-1, "")</f>
        <v>6.2122809485920527E-5</v>
      </c>
      <c r="C9" s="4">
        <f>IFERROR(Merged_data[[#This Row],[AAPL_Close]]/Merged_data!B8-1,"")</f>
        <v>-4.0374067080298781E-3</v>
      </c>
      <c r="D9" s="4">
        <f t="shared" si="0"/>
        <v>-6.8540309907816448E-3</v>
      </c>
      <c r="E9">
        <f t="shared" ca="1" si="1"/>
        <v>-1.4412560908935326</v>
      </c>
      <c r="F9">
        <f t="shared" ca="1" si="1"/>
        <v>-0.2869184330932284</v>
      </c>
      <c r="G9">
        <f t="shared" ca="1" si="1"/>
        <v>-0.22142878339830643</v>
      </c>
      <c r="H9">
        <f ca="1"/>
        <v>-1.4412560908935326</v>
      </c>
      <c r="I9">
        <f ca="1"/>
        <v>-0.36219367528598739</v>
      </c>
      <c r="J9">
        <f ca="1"/>
        <v>-0.60214302532906183</v>
      </c>
      <c r="K9">
        <v>7</v>
      </c>
      <c r="L9">
        <f t="shared" ca="1" si="2"/>
        <v>105793.52676367691</v>
      </c>
      <c r="M9">
        <f t="shared" ca="1" si="3"/>
        <v>4102.6704030762803</v>
      </c>
      <c r="N9">
        <f t="shared" ca="1" si="4"/>
        <v>258.0757879923143</v>
      </c>
      <c r="O9" s="4">
        <f t="shared" ca="1" si="5"/>
        <v>-4.7153301466806352E-2</v>
      </c>
      <c r="P9" s="4">
        <f t="shared" ca="1" si="6"/>
        <v>-6.6487928362025401E-3</v>
      </c>
      <c r="Q9" s="4">
        <f t="shared" ca="1" si="7"/>
        <v>-3.316109083494885E-2</v>
      </c>
      <c r="R9" s="4" cm="1">
        <f t="array" aca="1" ref="R9" ca="1">_xlfn._xlws.SORT(SUMPRODUCT($U$2:$W$2,O9:Q9))</f>
        <v>-2.6753834825007573E-2</v>
      </c>
      <c r="S9" s="4">
        <f ca="1"/>
        <v>-3.4692048405040858E-2</v>
      </c>
    </row>
    <row r="10" spans="1:23" x14ac:dyDescent="0.25">
      <c r="A10" s="4">
        <f>IFERROR(Merged_data[[#This Row],[BTCUSD_Close]]/Merged_data!D9-1,"")</f>
        <v>2.5051041902971916E-2</v>
      </c>
      <c r="B10" s="4">
        <f>IFERROR(Merged_data[[#This Row],[XAUUSD_Close]]/Merged_data!C9-1, "")</f>
        <v>2.6711148707285748E-3</v>
      </c>
      <c r="C10" s="4">
        <f>IFERROR(Merged_data[[#This Row],[AAPL_Close]]/Merged_data!B9-1,"")</f>
        <v>6.4869403490399602E-3</v>
      </c>
      <c r="D10" s="4">
        <f t="shared" si="0"/>
        <v>1.0529840623894992E-2</v>
      </c>
      <c r="E10">
        <f t="shared" ca="1" si="1"/>
        <v>-0.73494758093117907</v>
      </c>
      <c r="F10">
        <f t="shared" ca="1" si="1"/>
        <v>0.92665717517377044</v>
      </c>
      <c r="G10">
        <f t="shared" ca="1" si="1"/>
        <v>0.54415682985973091</v>
      </c>
      <c r="H10">
        <f ca="1"/>
        <v>-0.73494758093117907</v>
      </c>
      <c r="I10">
        <f ca="1"/>
        <v>0.88679176026883411</v>
      </c>
      <c r="J10">
        <f ca="1"/>
        <v>0.32176020759614044</v>
      </c>
      <c r="K10">
        <v>8</v>
      </c>
      <c r="L10">
        <f t="shared" ca="1" si="2"/>
        <v>107838.57868739282</v>
      </c>
      <c r="M10">
        <f t="shared" ca="1" si="3"/>
        <v>4165.6528434359616</v>
      </c>
      <c r="N10">
        <f t="shared" ca="1" si="4"/>
        <v>263.03673216454939</v>
      </c>
      <c r="O10" s="4">
        <f t="shared" ca="1" si="5"/>
        <v>1.9146133405311568E-2</v>
      </c>
      <c r="P10" s="4">
        <f t="shared" ca="1" si="6"/>
        <v>1.5234928939906573E-2</v>
      </c>
      <c r="Q10" s="4">
        <f t="shared" ca="1" si="7"/>
        <v>1.9040394757107809E-2</v>
      </c>
      <c r="R10" s="4" cm="1">
        <f t="array" aca="1" ref="R10" ca="1">_xlfn._xlws.SORT(SUMPRODUCT($U$2:$W$2,O10:Q10))</f>
        <v>1.7549930024688441E-2</v>
      </c>
      <c r="S10" s="4">
        <f ca="1"/>
        <v>-3.4683337919326103E-2</v>
      </c>
      <c r="T10" s="3" t="s">
        <v>45</v>
      </c>
      <c r="U10" s="7" t="s">
        <v>3</v>
      </c>
      <c r="V10" s="7" t="s">
        <v>4</v>
      </c>
      <c r="W10" s="7" t="s">
        <v>5</v>
      </c>
    </row>
    <row r="11" spans="1:23" x14ac:dyDescent="0.25">
      <c r="A11" s="4">
        <f>IFERROR(Merged_data[[#This Row],[BTCUSD_Close]]/Merged_data!D10-1,"")</f>
        <v>8.7634006840456413E-2</v>
      </c>
      <c r="B11" s="4">
        <f>IFERROR(Merged_data[[#This Row],[XAUUSD_Close]]/Merged_data!C10-1, "")</f>
        <v>-3.0954866900267719E-2</v>
      </c>
      <c r="C11" s="4">
        <f>IFERROR(Merged_data[[#This Row],[AAPL_Close]]/Merged_data!B10-1,"")</f>
        <v>-3.265174314560082E-3</v>
      </c>
      <c r="D11" s="4">
        <f t="shared" si="0"/>
        <v>1.2928702997661809E-2</v>
      </c>
      <c r="E11">
        <f t="shared" ca="1" si="1"/>
        <v>1.0897016708229901</v>
      </c>
      <c r="F11">
        <f t="shared" ca="1" si="1"/>
        <v>-2.0455315021800518</v>
      </c>
      <c r="G11">
        <f t="shared" ca="1" si="1"/>
        <v>1.9225507458102908</v>
      </c>
      <c r="H11">
        <f ca="1"/>
        <v>1.0897016708229901</v>
      </c>
      <c r="I11">
        <f ca="1"/>
        <v>-1.9854970408287962</v>
      </c>
      <c r="J11">
        <f ca="1"/>
        <v>2.15280883703555</v>
      </c>
      <c r="K11">
        <v>9</v>
      </c>
      <c r="L11">
        <f t="shared" ca="1" si="2"/>
        <v>113306.79749453629</v>
      </c>
      <c r="M11">
        <f t="shared" ca="1" si="3"/>
        <v>4022.2292677374953</v>
      </c>
      <c r="N11">
        <f t="shared" ca="1" si="4"/>
        <v>273.15242128138766</v>
      </c>
      <c r="O11" s="4">
        <f t="shared" ca="1" si="5"/>
        <v>4.9463694523460916E-2</v>
      </c>
      <c r="P11" s="4">
        <f t="shared" ca="1" si="6"/>
        <v>-3.5036715316837171E-2</v>
      </c>
      <c r="Q11" s="4">
        <f t="shared" ca="1" si="7"/>
        <v>3.7736270644265123E-2</v>
      </c>
      <c r="R11" s="4">
        <f ca="1">(SUMPRODUCT($U$2:$W$2,O11:Q11))</f>
        <v>1.2145303423582941E-2</v>
      </c>
      <c r="S11" s="4">
        <f ca="1"/>
        <v>-3.1870883837177191E-2</v>
      </c>
      <c r="T11" s="7" t="s">
        <v>3</v>
      </c>
      <c r="U11">
        <f>SQRT(U6)</f>
        <v>1</v>
      </c>
      <c r="V11">
        <v>0</v>
      </c>
      <c r="W11">
        <v>0</v>
      </c>
    </row>
    <row r="12" spans="1:23" x14ac:dyDescent="0.25">
      <c r="A12" s="4">
        <f>IFERROR(Merged_data[[#This Row],[BTCUSD_Close]]/Merged_data!D11-1,"")</f>
        <v>2.9609918067334817E-3</v>
      </c>
      <c r="B12" s="4">
        <f>IFERROR(Merged_data[[#This Row],[XAUUSD_Close]]/Merged_data!C11-1, "")</f>
        <v>1.7846565791230562E-2</v>
      </c>
      <c r="C12" s="4">
        <f>IFERROR(Merged_data[[#This Row],[AAPL_Close]]/Merged_data!B11-1,"")</f>
        <v>2.1369655898592077E-2</v>
      </c>
      <c r="D12" s="4">
        <f t="shared" si="0"/>
        <v>1.4437820628089893E-2</v>
      </c>
      <c r="E12">
        <f t="shared" ca="1" si="1"/>
        <v>0.5832771655527782</v>
      </c>
      <c r="F12">
        <f t="shared" ca="1" si="1"/>
        <v>1.2223135158383229</v>
      </c>
      <c r="G12">
        <f t="shared" ca="1" si="1"/>
        <v>-0.96527442353604842</v>
      </c>
      <c r="H12">
        <f ca="1"/>
        <v>0.5832771655527782</v>
      </c>
      <c r="I12">
        <f ca="1"/>
        <v>1.2512517161174439</v>
      </c>
      <c r="J12">
        <f ca="1"/>
        <v>-0.77570045382757047</v>
      </c>
      <c r="K12">
        <v>10</v>
      </c>
      <c r="L12">
        <f t="shared" ca="1" si="2"/>
        <v>111761.68758656124</v>
      </c>
      <c r="M12">
        <f t="shared" ca="1" si="3"/>
        <v>4184.2108656932278</v>
      </c>
      <c r="N12">
        <f t="shared" ca="1" si="4"/>
        <v>257.15365640744159</v>
      </c>
      <c r="O12" s="4">
        <f t="shared" ca="1" si="5"/>
        <v>-1.3730346843813846E-2</v>
      </c>
      <c r="P12" s="4">
        <f t="shared" ca="1" si="6"/>
        <v>3.9481830461500229E-2</v>
      </c>
      <c r="Q12" s="4">
        <f t="shared" ca="1" si="7"/>
        <v>-6.0356168007402906E-2</v>
      </c>
      <c r="R12" s="4" cm="1">
        <f t="array" aca="1" ref="R12" ca="1">_xlfn._xlws.SORT(SUMPRODUCT($U$2:$W$2,O12:Q12))</f>
        <v>-6.4332222707649336E-3</v>
      </c>
      <c r="S12" s="4">
        <f ca="1"/>
        <v>-3.159437391689264E-2</v>
      </c>
      <c r="T12" s="7" t="s">
        <v>4</v>
      </c>
      <c r="U12">
        <f>U7/U11</f>
        <v>5.2503491672766314E-2</v>
      </c>
      <c r="V12">
        <f>SQRT(V7-U12^2)</f>
        <v>0.99862074050270344</v>
      </c>
      <c r="W12">
        <v>0</v>
      </c>
    </row>
    <row r="13" spans="1:23" x14ac:dyDescent="0.25">
      <c r="A13" s="4">
        <f>IFERROR(Merged_data[[#This Row],[BTCUSD_Close]]/Merged_data!D12-1,"")</f>
        <v>1.0137244724548911E-2</v>
      </c>
      <c r="B13" s="4">
        <f>IFERROR(Merged_data[[#This Row],[XAUUSD_Close]]/Merged_data!C12-1, "")</f>
        <v>-7.8846928332059196E-3</v>
      </c>
      <c r="C13" s="4">
        <f>IFERROR(Merged_data[[#This Row],[AAPL_Close]]/Merged_data!B12-1,"")</f>
        <v>-1.1851264428582864E-3</v>
      </c>
      <c r="D13" s="4">
        <f t="shared" si="0"/>
        <v>-4.6824164877518087E-4</v>
      </c>
      <c r="E13">
        <f t="shared" ca="1" si="1"/>
        <v>-5.494211588184852E-5</v>
      </c>
      <c r="F13">
        <f t="shared" ca="1" si="1"/>
        <v>-0.9362204648377922</v>
      </c>
      <c r="G13">
        <f t="shared" ca="1" si="1"/>
        <v>-1.3335499359778051</v>
      </c>
      <c r="H13">
        <f ca="1"/>
        <v>-5.494211588184852E-5</v>
      </c>
      <c r="I13">
        <f ca="1"/>
        <v>-0.93493205852302497</v>
      </c>
      <c r="J13">
        <f ca="1"/>
        <v>-1.2805460273420992</v>
      </c>
      <c r="K13">
        <v>11</v>
      </c>
      <c r="L13">
        <f t="shared" ca="1" si="2"/>
        <v>110008.05035104514</v>
      </c>
      <c r="M13">
        <f t="shared" ca="1" si="3"/>
        <v>4074.1028958042671</v>
      </c>
      <c r="N13">
        <f t="shared" ca="1" si="4"/>
        <v>254.49171675999679</v>
      </c>
      <c r="O13" s="4">
        <f t="shared" ca="1" si="5"/>
        <v>-1.5815266805174994E-2</v>
      </c>
      <c r="P13" s="4">
        <f t="shared" ca="1" si="6"/>
        <v>-2.6667549415168471E-2</v>
      </c>
      <c r="Q13" s="4">
        <f t="shared" ca="1" si="7"/>
        <v>-1.040550273822643E-2</v>
      </c>
      <c r="R13" s="4" cm="1">
        <f t="array" aca="1" ref="R13" ca="1">_xlfn._xlws.SORT(SUMPRODUCT($U$2:$W$2,O13:Q13))</f>
        <v>-1.8533250629087818E-2</v>
      </c>
      <c r="S13" s="4">
        <f ca="1"/>
        <v>-3.087291189492326E-2</v>
      </c>
      <c r="T13" s="7" t="s">
        <v>5</v>
      </c>
      <c r="U13">
        <f>U8/U11</f>
        <v>0.27058080699198822</v>
      </c>
      <c r="V13">
        <f>((W7-U13*U12)/V12)</f>
        <v>-3.487738168202231E-3</v>
      </c>
      <c r="W13">
        <f>SQRT(W8-U13^2-V13^2)</f>
        <v>0.96269094862787319</v>
      </c>
    </row>
    <row r="14" spans="1:23" x14ac:dyDescent="0.25">
      <c r="A14" s="4">
        <f>IFERROR(Merged_data[[#This Row],[BTCUSD_Close]]/Merged_data!D13-1,"")</f>
        <v>0.14953500170192902</v>
      </c>
      <c r="B14" s="4">
        <f>IFERROR(Merged_data[[#This Row],[XAUUSD_Close]]/Merged_data!C13-1, "")</f>
        <v>-2.4441655463155021E-2</v>
      </c>
      <c r="C14" s="4">
        <f>IFERROR(Merged_data[[#This Row],[AAPL_Close]]/Merged_data!B13-1,"")</f>
        <v>-1.2028529714041225E-2</v>
      </c>
      <c r="D14" s="4">
        <f t="shared" si="0"/>
        <v>3.1475279411104326E-2</v>
      </c>
      <c r="E14">
        <f t="shared" ca="1" si="1"/>
        <v>-1.0985566851381905</v>
      </c>
      <c r="F14">
        <f t="shared" ca="1" si="1"/>
        <v>-0.13192363438948193</v>
      </c>
      <c r="G14">
        <f t="shared" ca="1" si="1"/>
        <v>1.6993730718710691</v>
      </c>
      <c r="H14">
        <f ca="1"/>
        <v>-1.0985566851381905</v>
      </c>
      <c r="I14">
        <f ca="1"/>
        <v>-0.18941973923404712</v>
      </c>
      <c r="J14">
        <f ca="1"/>
        <v>1.3391828353360355</v>
      </c>
      <c r="K14">
        <v>12</v>
      </c>
      <c r="L14">
        <f t="shared" ca="1" si="2"/>
        <v>106780.18065085294</v>
      </c>
      <c r="M14">
        <f t="shared" ca="1" si="3"/>
        <v>4111.3198008269428</v>
      </c>
      <c r="N14">
        <f t="shared" ca="1" si="4"/>
        <v>268.60957167852615</v>
      </c>
      <c r="O14" s="4">
        <f t="shared" ca="1" si="5"/>
        <v>-2.9781213249211905E-2</v>
      </c>
      <c r="P14" s="4">
        <f t="shared" ca="1" si="6"/>
        <v>9.0935221952030618E-3</v>
      </c>
      <c r="Q14" s="4">
        <f t="shared" ca="1" si="7"/>
        <v>5.3990630542849007E-2</v>
      </c>
      <c r="R14" s="4" cm="1">
        <f t="array" aca="1" ref="R14" ca="1">_xlfn._xlws.SORT(SUMPRODUCT($U$2:$W$2,O14:Q14))</f>
        <v>1.0900234066172357E-2</v>
      </c>
      <c r="S14" s="4">
        <f ca="1"/>
        <v>-3.0110754174261047E-2</v>
      </c>
    </row>
    <row r="15" spans="1:23" x14ac:dyDescent="0.25">
      <c r="A15" s="4">
        <f>IFERROR(Merged_data[[#This Row],[BTCUSD_Close]]/Merged_data!D14-1,"")</f>
        <v>5.6112915613935055E-3</v>
      </c>
      <c r="B15" s="4">
        <f>IFERROR(Merged_data[[#This Row],[XAUUSD_Close]]/Merged_data!C14-1, "")</f>
        <v>-8.1178374829168343E-3</v>
      </c>
      <c r="C15" s="4">
        <f>IFERROR(Merged_data[[#This Row],[AAPL_Close]]/Merged_data!B14-1,"")</f>
        <v>0</v>
      </c>
      <c r="D15" s="4">
        <f t="shared" si="0"/>
        <v>-1.5637475247486821E-3</v>
      </c>
      <c r="E15">
        <f t="shared" ca="1" si="1"/>
        <v>0.21251298706628438</v>
      </c>
      <c r="F15">
        <f t="shared" ca="1" si="1"/>
        <v>-7.620979414438929E-2</v>
      </c>
      <c r="G15">
        <f t="shared" ca="1" si="1"/>
        <v>-0.77464468308343448</v>
      </c>
      <c r="H15">
        <f ca="1"/>
        <v>0.21251298706628438</v>
      </c>
      <c r="I15">
        <f ca="1"/>
        <v>-6.4947007215239272E-2</v>
      </c>
      <c r="J15">
        <f ca="1"/>
        <v>-0.68797568946262833</v>
      </c>
      <c r="K15">
        <v>13</v>
      </c>
      <c r="L15">
        <f t="shared" ca="1" si="2"/>
        <v>110643.48533409057</v>
      </c>
      <c r="M15">
        <f t="shared" ca="1" si="3"/>
        <v>4117.5656467295921</v>
      </c>
      <c r="N15">
        <f t="shared" ca="1" si="4"/>
        <v>257.61834375756615</v>
      </c>
      <c r="O15" s="4">
        <f t="shared" ca="1" si="5"/>
        <v>3.5540853559011952E-2</v>
      </c>
      <c r="P15" s="4">
        <f t="shared" ca="1" si="6"/>
        <v>1.5180299062060873E-3</v>
      </c>
      <c r="Q15" s="4">
        <f t="shared" ca="1" si="7"/>
        <v>-4.1779716957892003E-2</v>
      </c>
      <c r="R15" s="4" cm="1">
        <f t="array" aca="1" ref="R15" ca="1">_xlfn._xlws.SORT(SUMPRODUCT($U$2:$W$2,O15:Q15))</f>
        <v>-1.2644470571815791E-3</v>
      </c>
      <c r="S15" s="4">
        <f ca="1"/>
        <v>-2.9217835226356941E-2</v>
      </c>
      <c r="T15" s="3" t="s">
        <v>47</v>
      </c>
      <c r="U15" s="7" t="s">
        <v>3</v>
      </c>
      <c r="V15" s="7" t="s">
        <v>4</v>
      </c>
      <c r="W15" s="7" t="s">
        <v>5</v>
      </c>
    </row>
    <row r="16" spans="1:23" x14ac:dyDescent="0.25">
      <c r="A16" s="4">
        <f>IFERROR(Merged_data[[#This Row],[BTCUSD_Close]]/Merged_data!D15-1,"")</f>
        <v>1.2937973765291044E-2</v>
      </c>
      <c r="B16" s="4">
        <f>IFERROR(Merged_data[[#This Row],[XAUUSD_Close]]/Merged_data!C15-1, "")</f>
        <v>-9.7526243373007304E-3</v>
      </c>
      <c r="C16" s="4">
        <f>IFERROR(Merged_data[[#This Row],[AAPL_Close]]/Merged_data!B15-1,"")</f>
        <v>3.9690335023929713E-3</v>
      </c>
      <c r="D16" s="4">
        <f t="shared" si="0"/>
        <v>1.171052445384912E-3</v>
      </c>
      <c r="E16">
        <f t="shared" ca="1" si="1"/>
        <v>8.0867383656788847E-2</v>
      </c>
      <c r="F16">
        <f t="shared" ca="1" si="1"/>
        <v>-0.99599114152226442</v>
      </c>
      <c r="G16">
        <f t="shared" ca="1" si="1"/>
        <v>0.42743129874832747</v>
      </c>
      <c r="H16">
        <f ca="1"/>
        <v>8.0867383656788847E-2</v>
      </c>
      <c r="I16">
        <f ca="1"/>
        <v>-0.99037159127667396</v>
      </c>
      <c r="J16">
        <f ca="1"/>
        <v>0.43683916071393442</v>
      </c>
      <c r="K16">
        <v>14</v>
      </c>
      <c r="L16">
        <f t="shared" ca="1" si="2"/>
        <v>110249.15805948152</v>
      </c>
      <c r="M16">
        <f t="shared" ca="1" si="3"/>
        <v>4071.3450412872362</v>
      </c>
      <c r="N16">
        <f t="shared" ca="1" si="4"/>
        <v>263.65997475560664</v>
      </c>
      <c r="O16" s="4">
        <f t="shared" ca="1" si="5"/>
        <v>-3.5703107847230588E-3</v>
      </c>
      <c r="P16" s="4">
        <f t="shared" ca="1" si="6"/>
        <v>-1.1288704455389336E-2</v>
      </c>
      <c r="Q16" s="4">
        <f t="shared" ca="1" si="7"/>
        <v>2.3181096649938948E-2</v>
      </c>
      <c r="R16" s="4" cm="1">
        <f t="array" aca="1" ref="R16" ca="1">_xlfn._xlws.SORT(SUMPRODUCT($U$2:$W$2,O16:Q16))</f>
        <v>1.3677539774090324E-3</v>
      </c>
      <c r="S16" s="4">
        <f ca="1"/>
        <v>-2.86668570456028E-2</v>
      </c>
      <c r="T16" s="7" t="s">
        <v>49</v>
      </c>
      <c r="U16" s="2">
        <v>0</v>
      </c>
      <c r="V16" s="2">
        <f>U16</f>
        <v>0</v>
      </c>
      <c r="W16" s="2">
        <f>V16</f>
        <v>0</v>
      </c>
    </row>
    <row r="17" spans="1:23" x14ac:dyDescent="0.25">
      <c r="A17" s="4">
        <f>IFERROR(Merged_data[[#This Row],[BTCUSD_Close]]/Merged_data!D16-1,"")</f>
        <v>-2.3017182138239001E-2</v>
      </c>
      <c r="B17" s="4">
        <f>IFERROR(Merged_data[[#This Row],[XAUUSD_Close]]/Merged_data!C16-1, "")</f>
        <v>-3.0645935478353925E-3</v>
      </c>
      <c r="C17" s="4">
        <f>IFERROR(Merged_data[[#This Row],[AAPL_Close]]/Merged_data!B16-1,"")</f>
        <v>1.3767771141933505E-2</v>
      </c>
      <c r="D17" s="4">
        <f t="shared" si="0"/>
        <v>-4.000660718025806E-3</v>
      </c>
      <c r="E17">
        <f t="shared" ca="1" si="1"/>
        <v>0.10804295241985484</v>
      </c>
      <c r="F17">
        <f t="shared" ca="1" si="1"/>
        <v>0.45342756453174204</v>
      </c>
      <c r="G17">
        <f t="shared" ca="1" si="1"/>
        <v>0.14899341697561966</v>
      </c>
      <c r="H17">
        <f ca="1"/>
        <v>0.10804295241985484</v>
      </c>
      <c r="I17">
        <f ca="1"/>
        <v>0.45847480250970252</v>
      </c>
      <c r="J17">
        <f ca="1"/>
        <v>0.17108752655979653</v>
      </c>
      <c r="K17">
        <v>15</v>
      </c>
      <c r="L17">
        <f t="shared" ca="1" si="2"/>
        <v>110330.24723350801</v>
      </c>
      <c r="M17">
        <f t="shared" ca="1" si="3"/>
        <v>4143.9368721419996</v>
      </c>
      <c r="N17">
        <f t="shared" ca="1" si="4"/>
        <v>262.21962578074044</v>
      </c>
      <c r="O17" s="4">
        <f t="shared" ca="1" si="5"/>
        <v>7.3523797538294208E-4</v>
      </c>
      <c r="P17" s="4">
        <f t="shared" ca="1" si="6"/>
        <v>1.7672849450915785E-2</v>
      </c>
      <c r="Q17" s="4">
        <f t="shared" ca="1" si="7"/>
        <v>-5.4778796330105144E-3</v>
      </c>
      <c r="R17" s="4" cm="1">
        <f t="array" aca="1" ref="R17" ca="1">_xlfn._xlws.SORT(SUMPRODUCT($U$2:$W$2,O17:Q17))</f>
        <v>5.6463472830780431E-3</v>
      </c>
      <c r="S17" s="4">
        <f ca="1"/>
        <v>-2.8358742664256184E-2</v>
      </c>
      <c r="T17" s="7" t="s">
        <v>48</v>
      </c>
      <c r="U17">
        <f>_xlfn.STDEV.S(A3:A251)</f>
        <v>2.7109413066338111E-2</v>
      </c>
      <c r="V17">
        <f>_xlfn.STDEV.S(B3:B251)</f>
        <v>1.2198082770045823E-2</v>
      </c>
      <c r="W17">
        <f>_xlfn.STDEV.S(C3:C251)</f>
        <v>2.0609569269709232E-2</v>
      </c>
    </row>
    <row r="18" spans="1:23" x14ac:dyDescent="0.25">
      <c r="A18" s="4">
        <f>IFERROR(Merged_data[[#This Row],[BTCUSD_Close]]/Merged_data!D17-1,"")</f>
        <v>4.06390898157174E-2</v>
      </c>
      <c r="B18" s="4">
        <f>IFERROR(Merged_data[[#This Row],[XAUUSD_Close]]/Merged_data!C17-1, "")</f>
        <v>-1.0604081791778519E-3</v>
      </c>
      <c r="C18" s="4">
        <f>IFERROR(Merged_data[[#This Row],[AAPL_Close]]/Merged_data!B17-1,"")</f>
        <v>-1.4107181239554567E-2</v>
      </c>
      <c r="D18" s="4">
        <f t="shared" si="0"/>
        <v>7.5354093011777085E-3</v>
      </c>
      <c r="E18">
        <f t="shared" ca="1" si="1"/>
        <v>1.2250074032863367</v>
      </c>
      <c r="F18">
        <f t="shared" ca="1" si="1"/>
        <v>-1.3669450778919217</v>
      </c>
      <c r="G18">
        <f t="shared" ca="1" si="1"/>
        <v>0.53073557769521462</v>
      </c>
      <c r="H18">
        <f ca="1"/>
        <v>1.2250074032863367</v>
      </c>
      <c r="I18">
        <f ca="1"/>
        <v>-1.3007425399134351</v>
      </c>
      <c r="J18">
        <f ca="1"/>
        <v>0.84716537503634526</v>
      </c>
      <c r="K18">
        <v>16</v>
      </c>
      <c r="L18">
        <f t="shared" ca="1" si="2"/>
        <v>113722.00191915396</v>
      </c>
      <c r="M18">
        <f t="shared" ca="1" si="3"/>
        <v>4055.9579291994005</v>
      </c>
      <c r="N18">
        <f t="shared" ca="1" si="4"/>
        <v>265.898654823637</v>
      </c>
      <c r="O18" s="4">
        <f t="shared" ca="1" si="5"/>
        <v>3.027877493542724E-2</v>
      </c>
      <c r="P18" s="4">
        <f t="shared" ca="1" si="6"/>
        <v>-2.1459377534950343E-2</v>
      </c>
      <c r="Q18" s="4">
        <f t="shared" ca="1" si="7"/>
        <v>1.3932820329520906E-2</v>
      </c>
      <c r="R18" s="4" cm="1">
        <f t="array" aca="1" ref="R18" ca="1">_xlfn._xlws.SORT(SUMPRODUCT($U$2:$W$2,O18:Q18))</f>
        <v>4.6797275655043064E-3</v>
      </c>
      <c r="S18" s="4">
        <f ca="1"/>
        <v>-2.7690330429283101E-2</v>
      </c>
      <c r="T18" s="7" t="s">
        <v>50</v>
      </c>
      <c r="U18">
        <f>Merged_data!D252</f>
        <v>110010</v>
      </c>
      <c r="V18">
        <f>Merged_data!C252</f>
        <v>4120.8450000000003</v>
      </c>
      <c r="W18">
        <f>Merged_data!B252</f>
        <v>261.3</v>
      </c>
    </row>
    <row r="19" spans="1:23" x14ac:dyDescent="0.25">
      <c r="A19" s="4">
        <f>IFERROR(Merged_data[[#This Row],[BTCUSD_Close]]/Merged_data!D18-1,"")</f>
        <v>-4.8311136867318361E-4</v>
      </c>
      <c r="B19" s="4">
        <f>IFERROR(Merged_data[[#This Row],[XAUUSD_Close]]/Merged_data!C18-1, "")</f>
        <v>1.9333965570398792E-2</v>
      </c>
      <c r="C19" s="4">
        <f>IFERROR(Merged_data[[#This Row],[AAPL_Close]]/Merged_data!B18-1,"")</f>
        <v>1.3423625046161902E-2</v>
      </c>
      <c r="D19" s="4">
        <f t="shared" si="0"/>
        <v>1.1615740331406133E-2</v>
      </c>
      <c r="E19">
        <f t="shared" ca="1" si="1"/>
        <v>-2.3465396513921138E-2</v>
      </c>
      <c r="F19">
        <f t="shared" ca="1" si="1"/>
        <v>0.72337943607601496</v>
      </c>
      <c r="G19">
        <f t="shared" ca="1" si="1"/>
        <v>0.97960061763503903</v>
      </c>
      <c r="H19">
        <f ca="1"/>
        <v>-2.3465396513921138E-2</v>
      </c>
      <c r="I19">
        <f ca="1"/>
        <v>0.72114969286819131</v>
      </c>
      <c r="J19">
        <f ca="1"/>
        <v>0.93418040387310752</v>
      </c>
      <c r="K19">
        <v>17</v>
      </c>
      <c r="L19">
        <f t="shared" ca="1" si="2"/>
        <v>109937.2831470368</v>
      </c>
      <c r="M19">
        <f t="shared" ca="1" si="3"/>
        <v>4157.2333951030405</v>
      </c>
      <c r="N19">
        <f t="shared" ca="1" si="4"/>
        <v>266.37570275291216</v>
      </c>
      <c r="O19" s="4">
        <f t="shared" ca="1" si="5"/>
        <v>-3.3846840575400647E-2</v>
      </c>
      <c r="P19" s="4">
        <f t="shared" ca="1" si="6"/>
        <v>2.4662910026010215E-2</v>
      </c>
      <c r="Q19" s="4">
        <f t="shared" ca="1" si="7"/>
        <v>1.7924893439445408E-3</v>
      </c>
      <c r="R19" s="4" cm="1">
        <f t="array" aca="1" ref="R19" ca="1">_xlfn._xlws.SORT(SUMPRODUCT($U$2:$W$2,O19:Q19))</f>
        <v>2.4885864096725434E-4</v>
      </c>
      <c r="S19" s="4">
        <f ca="1"/>
        <v>-2.7241066759097699E-2</v>
      </c>
    </row>
    <row r="20" spans="1:23" x14ac:dyDescent="0.25">
      <c r="A20" s="4">
        <f>IFERROR(Merged_data[[#This Row],[BTCUSD_Close]]/Merged_data!D19-1,"")</f>
        <v>7.703925505703868E-3</v>
      </c>
      <c r="B20" s="4">
        <f>IFERROR(Merged_data[[#This Row],[XAUUSD_Close]]/Merged_data!C19-1, "")</f>
        <v>7.8085815909674228E-3</v>
      </c>
      <c r="C20" s="4">
        <f>IFERROR(Merged_data[[#This Row],[AAPL_Close]]/Merged_data!B19-1,"")</f>
        <v>1.137111998946283E-3</v>
      </c>
      <c r="D20" s="4">
        <f t="shared" si="0"/>
        <v>5.7757438877820144E-3</v>
      </c>
      <c r="E20">
        <f t="shared" ca="1" si="1"/>
        <v>1.4330019427424807</v>
      </c>
      <c r="F20">
        <f t="shared" ca="1" si="1"/>
        <v>0.1424341689238289</v>
      </c>
      <c r="G20">
        <f t="shared" ca="1" si="1"/>
        <v>0.91706999438611769</v>
      </c>
      <c r="H20">
        <f ca="1"/>
        <v>1.4330019427424807</v>
      </c>
      <c r="I20">
        <f ca="1"/>
        <v>0.21747532081143897</v>
      </c>
      <c r="J20">
        <f ca="1"/>
        <v>1.2701010318546655</v>
      </c>
      <c r="K20">
        <v>18</v>
      </c>
      <c r="L20">
        <f t="shared" ca="1" si="2"/>
        <v>114364.70961381761</v>
      </c>
      <c r="M20">
        <f t="shared" ca="1" si="3"/>
        <v>4131.7689948382476</v>
      </c>
      <c r="N20">
        <f t="shared" ca="1" si="4"/>
        <v>268.22603927533999</v>
      </c>
      <c r="O20" s="4">
        <f t="shared" ca="1" si="5"/>
        <v>3.9482498974004389E-2</v>
      </c>
      <c r="P20" s="4">
        <f t="shared" ca="1" si="6"/>
        <v>-6.1441604610717642E-3</v>
      </c>
      <c r="Q20" s="4">
        <f t="shared" ca="1" si="7"/>
        <v>6.9223265311376195E-3</v>
      </c>
      <c r="R20" s="4" cm="1">
        <f t="array" aca="1" ref="R20" ca="1">_xlfn._xlws.SORT(SUMPRODUCT($U$2:$W$2,O20:Q20))</f>
        <v>1.1463783467113898E-2</v>
      </c>
      <c r="S20" s="4">
        <f ca="1"/>
        <v>-2.7004467157910689E-2</v>
      </c>
      <c r="T20" s="3" t="s">
        <v>55</v>
      </c>
      <c r="U20" s="3"/>
      <c r="V20" s="3"/>
      <c r="W20" s="24"/>
    </row>
    <row r="21" spans="1:23" x14ac:dyDescent="0.25">
      <c r="A21" s="4">
        <f>IFERROR(Merged_data[[#This Row],[BTCUSD_Close]]/Merged_data!D20-1,"")</f>
        <v>2.4838458116575479E-2</v>
      </c>
      <c r="B21" s="4">
        <f>IFERROR(Merged_data[[#This Row],[XAUUSD_Close]]/Merged_data!C20-1, "")</f>
        <v>6.8382172767560423E-3</v>
      </c>
      <c r="C21" s="4">
        <f>IFERROR(Merged_data[[#This Row],[AAPL_Close]]/Merged_data!B20-1,"")</f>
        <v>3.1531077187549883E-3</v>
      </c>
      <c r="D21" s="4">
        <f t="shared" si="0"/>
        <v>1.1132756661301558E-2</v>
      </c>
      <c r="E21">
        <f t="shared" ca="1" si="1"/>
        <v>1.9031164368925151</v>
      </c>
      <c r="F21">
        <f t="shared" ca="1" si="1"/>
        <v>0.77312681555314688</v>
      </c>
      <c r="G21">
        <f t="shared" ca="1" si="1"/>
        <v>1.3173671432777838</v>
      </c>
      <c r="H21">
        <f ca="1"/>
        <v>1.9031164368925151</v>
      </c>
      <c r="I21">
        <f ca="1"/>
        <v>0.87198073104687146</v>
      </c>
      <c r="J21">
        <f ca="1"/>
        <v>1.7804677422439097</v>
      </c>
      <c r="K21">
        <v>19</v>
      </c>
      <c r="L21">
        <f t="shared" ca="1" si="2"/>
        <v>115831.39023256507</v>
      </c>
      <c r="M21">
        <f t="shared" ca="1" si="3"/>
        <v>4164.8866305836009</v>
      </c>
      <c r="N21">
        <f t="shared" ca="1" si="4"/>
        <v>271.06201715955382</v>
      </c>
      <c r="O21" s="4">
        <f t="shared" ca="1" si="5"/>
        <v>1.2743052266858162E-2</v>
      </c>
      <c r="P21" s="4">
        <f t="shared" ca="1" si="6"/>
        <v>7.9834123859217204E-3</v>
      </c>
      <c r="Q21" s="4">
        <f t="shared" ca="1" si="7"/>
        <v>1.0517585150348409E-2</v>
      </c>
      <c r="R21" s="4" cm="1">
        <f t="array" aca="1" ref="R21" ca="1">_xlfn._xlws.SORT(SUMPRODUCT($U$2:$W$2,O21:Q21))</f>
        <v>1.0171556179530659E-2</v>
      </c>
      <c r="S21" s="4">
        <f ca="1"/>
        <v>-2.6753834825007573E-2</v>
      </c>
      <c r="T21" s="7" t="s">
        <v>56</v>
      </c>
      <c r="U21">
        <f ca="1">COUNT(_xlfn.ANCHORARRAY(S4))</f>
        <v>248</v>
      </c>
      <c r="V21">
        <f ca="1">U21</f>
        <v>248</v>
      </c>
    </row>
    <row r="22" spans="1:23" x14ac:dyDescent="0.25">
      <c r="A22" s="4">
        <f>IFERROR(Merged_data[[#This Row],[BTCUSD_Close]]/Merged_data!D21-1,"")</f>
        <v>4.4587575801956714E-2</v>
      </c>
      <c r="B22" s="4">
        <f>IFERROR(Merged_data[[#This Row],[XAUUSD_Close]]/Merged_data!C21-1, "")</f>
        <v>7.3200227147096619E-3</v>
      </c>
      <c r="C22" s="4">
        <f>IFERROR(Merged_data[[#This Row],[AAPL_Close]]/Merged_data!B21-1,"")</f>
        <v>-2.094007379299434E-3</v>
      </c>
      <c r="D22" s="4">
        <f t="shared" si="0"/>
        <v>1.5676079612681047E-2</v>
      </c>
      <c r="E22">
        <f t="shared" ca="1" si="1"/>
        <v>-0.77689600792786384</v>
      </c>
      <c r="F22">
        <f t="shared" ca="1" si="1"/>
        <v>0.38926291344871672</v>
      </c>
      <c r="G22">
        <f t="shared" ca="1" si="1"/>
        <v>0.1732648096668167</v>
      </c>
      <c r="H22">
        <f ca="1"/>
        <v>-0.77689600792786384</v>
      </c>
      <c r="I22">
        <f ca="1"/>
        <v>0.34793626579555126</v>
      </c>
      <c r="J22">
        <f ca="1"/>
        <v>-4.4770331912700495E-2</v>
      </c>
      <c r="K22">
        <v>20</v>
      </c>
      <c r="L22">
        <f t="shared" ca="1" si="2"/>
        <v>107714.10713918944</v>
      </c>
      <c r="M22">
        <f t="shared" ca="1" si="3"/>
        <v>4138.3469437740468</v>
      </c>
      <c r="N22">
        <f t="shared" ca="1" si="4"/>
        <v>261.05455719113456</v>
      </c>
      <c r="O22" s="4">
        <f t="shared" ca="1" si="5"/>
        <v>-7.2655040133089918E-2</v>
      </c>
      <c r="P22" s="4">
        <f t="shared" ca="1" si="6"/>
        <v>-6.3926365438927548E-3</v>
      </c>
      <c r="Q22" s="4">
        <f t="shared" ca="1" si="7"/>
        <v>-3.7618223443413791E-2</v>
      </c>
      <c r="R22" s="4" cm="1">
        <f t="array" aca="1" ref="R22" ca="1">_xlfn._xlws.SORT(SUMPRODUCT($U$2:$W$2,O22:Q22))</f>
        <v>-3.5639033690508214E-2</v>
      </c>
      <c r="S22" s="4">
        <f ca="1"/>
        <v>-2.556127619285823E-2</v>
      </c>
      <c r="T22" s="7" t="s">
        <v>77</v>
      </c>
      <c r="U22" s="2">
        <v>0.99</v>
      </c>
      <c r="V22" s="2">
        <v>0.95</v>
      </c>
      <c r="W22" s="2"/>
    </row>
    <row r="23" spans="1:23" x14ac:dyDescent="0.25">
      <c r="A23" s="4">
        <f>IFERROR(Merged_data[[#This Row],[BTCUSD_Close]]/Merged_data!D22-1,"")</f>
        <v>7.7468502069044654E-3</v>
      </c>
      <c r="B23" s="4">
        <f>IFERROR(Merged_data[[#This Row],[XAUUSD_Close]]/Merged_data!C22-1, "")</f>
        <v>1.3591592952673759E-2</v>
      </c>
      <c r="C23" s="4">
        <f>IFERROR(Merged_data[[#This Row],[AAPL_Close]]/Merged_data!B22-1,"")</f>
        <v>5.9096942642233863E-3</v>
      </c>
      <c r="D23" s="4">
        <f t="shared" si="0"/>
        <v>9.5336005224078597E-3</v>
      </c>
      <c r="E23">
        <f t="shared" ca="1" si="1"/>
        <v>0.3846262216608119</v>
      </c>
      <c r="F23">
        <f t="shared" ca="1" si="1"/>
        <v>0.60956033850348545</v>
      </c>
      <c r="G23">
        <f t="shared" ca="1" si="1"/>
        <v>-0.83049907922275823</v>
      </c>
      <c r="H23">
        <f ca="1"/>
        <v>0.3846262216608119</v>
      </c>
      <c r="I23">
        <f ca="1"/>
        <v>0.62891381624352527</v>
      </c>
      <c r="J23">
        <f ca="1"/>
        <v>-0.6975674598226913</v>
      </c>
      <c r="K23">
        <v>21</v>
      </c>
      <c r="L23">
        <f t="shared" ca="1" si="2"/>
        <v>111159.62943565271</v>
      </c>
      <c r="M23">
        <f t="shared" ca="1" si="3"/>
        <v>4152.5537556509753</v>
      </c>
      <c r="N23">
        <f t="shared" ca="1" si="4"/>
        <v>257.56566474556502</v>
      </c>
      <c r="O23" s="4">
        <f t="shared" ca="1" si="5"/>
        <v>3.14867101641257E-2</v>
      </c>
      <c r="P23" s="4">
        <f t="shared" ca="1" si="6"/>
        <v>3.427088635316392E-3</v>
      </c>
      <c r="Q23" s="4">
        <f t="shared" ca="1" si="7"/>
        <v>-1.3454720547100545E-2</v>
      </c>
      <c r="R23" s="4" cm="1">
        <f t="array" aca="1" ref="R23" ca="1">_xlfn._xlws.SORT(SUMPRODUCT($U$2:$W$2,O23:Q23))</f>
        <v>6.780432339234102E-3</v>
      </c>
      <c r="S23" s="4">
        <f ca="1"/>
        <v>-2.380755839680615E-2</v>
      </c>
      <c r="T23" s="7" t="s">
        <v>11</v>
      </c>
      <c r="U23" s="2">
        <v>0.01</v>
      </c>
      <c r="V23" s="2">
        <v>0.05</v>
      </c>
      <c r="W23" s="2"/>
    </row>
    <row r="24" spans="1:23" x14ac:dyDescent="0.25">
      <c r="A24" s="4">
        <f>IFERROR(Merged_data[[#This Row],[BTCUSD_Close]]/Merged_data!D23-1,"")</f>
        <v>-4.8555493721116005E-2</v>
      </c>
      <c r="B24" s="4">
        <f>IFERROR(Merged_data[[#This Row],[XAUUSD_Close]]/Merged_data!C23-1, "")</f>
        <v>-2.9830558583861411E-2</v>
      </c>
      <c r="C24" s="4">
        <f>IFERROR(Merged_data[[#This Row],[AAPL_Close]]/Merged_data!B23-1,"")</f>
        <v>1.3047757579980779E-2</v>
      </c>
      <c r="D24" s="4">
        <f t="shared" si="0"/>
        <v>-2.2584544275885132E-2</v>
      </c>
      <c r="E24">
        <f t="shared" ca="1" si="1"/>
        <v>-0.98196429459130796</v>
      </c>
      <c r="F24">
        <f t="shared" ca="1" si="1"/>
        <v>-0.457077025609678</v>
      </c>
      <c r="G24">
        <f t="shared" ca="1" si="1"/>
        <v>-0.62717624673425165</v>
      </c>
      <c r="H24">
        <f ca="1"/>
        <v>-0.98196429459130796</v>
      </c>
      <c r="I24">
        <f ca="1"/>
        <v>-0.50800315194513834</v>
      </c>
      <c r="J24">
        <f ca="1"/>
        <v>-0.86788342220527315</v>
      </c>
      <c r="K24">
        <v>22</v>
      </c>
      <c r="L24">
        <f t="shared" ca="1" si="2"/>
        <v>107116.63941255653</v>
      </c>
      <c r="M24">
        <f t="shared" ca="1" si="3"/>
        <v>4095.361540678427</v>
      </c>
      <c r="N24">
        <f t="shared" ca="1" si="4"/>
        <v>256.66293953202882</v>
      </c>
      <c r="O24" s="4">
        <f t="shared" ca="1" si="5"/>
        <v>-3.7048942541146761E-2</v>
      </c>
      <c r="P24" s="4">
        <f t="shared" ca="1" si="6"/>
        <v>-1.386850606220766E-2</v>
      </c>
      <c r="Q24" s="4">
        <f t="shared" ca="1" si="7"/>
        <v>-3.510991544833651E-3</v>
      </c>
      <c r="R24" s="4" cm="1">
        <f t="array" aca="1" ref="R24" ca="1">_xlfn._xlws.SORT(SUMPRODUCT($U$2:$W$2,O24:Q24))</f>
        <v>-1.7715382650677187E-2</v>
      </c>
      <c r="S24" s="4">
        <f ca="1"/>
        <v>-2.375057330164455E-2</v>
      </c>
      <c r="T24" s="7" t="s">
        <v>57</v>
      </c>
      <c r="U24" s="4">
        <f ca="1">_xlfn.PERCENTILE.INC(S4:S251,0.01)</f>
        <v>-3.6995535055472505E-2</v>
      </c>
      <c r="V24" s="23">
        <f ca="1">_xlfn.PERCENTILE.INC(S4:S251,0.05)</f>
        <v>-2.8559017012131482E-2</v>
      </c>
    </row>
    <row r="25" spans="1:23" x14ac:dyDescent="0.25">
      <c r="A25" s="4">
        <f>IFERROR(Merged_data[[#This Row],[BTCUSD_Close]]/Merged_data!D24-1,"")</f>
        <v>-2.7746165762810304E-2</v>
      </c>
      <c r="B25" s="4">
        <f>IFERROR(Merged_data[[#This Row],[XAUUSD_Close]]/Merged_data!C24-1, "")</f>
        <v>3.0454474465093639E-3</v>
      </c>
      <c r="C25" s="4">
        <f>IFERROR(Merged_data[[#This Row],[AAPL_Close]]/Merged_data!B24-1,"")</f>
        <v>9.4061406450169915E-3</v>
      </c>
      <c r="D25" s="4">
        <f t="shared" si="0"/>
        <v>-4.2838285567342489E-3</v>
      </c>
      <c r="E25">
        <f t="shared" ca="1" si="1"/>
        <v>0.63164352995341722</v>
      </c>
      <c r="F25">
        <f t="shared" ca="1" si="1"/>
        <v>-0.5986755027380265</v>
      </c>
      <c r="G25">
        <f t="shared" ca="1" si="1"/>
        <v>1.9864049000661705</v>
      </c>
      <c r="H25">
        <f ca="1"/>
        <v>0.63164352995341722</v>
      </c>
      <c r="I25">
        <f ca="1"/>
        <v>-0.56468628305001034</v>
      </c>
      <c r="J25">
        <f ca="1"/>
        <v>2.0852926570710881</v>
      </c>
      <c r="K25">
        <v>23</v>
      </c>
      <c r="L25">
        <f t="shared" ca="1" si="2"/>
        <v>111906.17690461695</v>
      </c>
      <c r="M25">
        <f t="shared" ca="1" si="3"/>
        <v>4092.5296591105907</v>
      </c>
      <c r="N25">
        <f t="shared" ca="1" si="4"/>
        <v>272.76934250887075</v>
      </c>
      <c r="O25" s="4">
        <f t="shared" ca="1" si="5"/>
        <v>4.37424852991306E-2</v>
      </c>
      <c r="P25" s="4">
        <f t="shared" ca="1" si="6"/>
        <v>-6.9172430645549857E-4</v>
      </c>
      <c r="Q25" s="4">
        <f t="shared" ca="1" si="7"/>
        <v>6.0862834051122097E-2</v>
      </c>
      <c r="R25" s="4" cm="1">
        <f t="array" aca="1" ref="R25" ca="1">_xlfn._xlws.SORT(SUMPRODUCT($U$2:$W$2,O25:Q25))</f>
        <v>3.1104906082493607E-2</v>
      </c>
      <c r="S25" s="4">
        <f ca="1"/>
        <v>-2.3083402557339417E-2</v>
      </c>
      <c r="T25" s="7" t="s">
        <v>58</v>
      </c>
      <c r="U25" s="8">
        <f>Historical!I15</f>
        <v>1000000</v>
      </c>
      <c r="V25" s="12">
        <f>U25</f>
        <v>1000000</v>
      </c>
    </row>
    <row r="26" spans="1:23" x14ac:dyDescent="0.25">
      <c r="A26" s="4">
        <f>IFERROR(Merged_data[[#This Row],[BTCUSD_Close]]/Merged_data!D25-1,"")</f>
        <v>4.7709713595677217E-2</v>
      </c>
      <c r="B26" s="4">
        <f>IFERROR(Merged_data[[#This Row],[XAUUSD_Close]]/Merged_data!C25-1, "")</f>
        <v>1.0329538873434796E-3</v>
      </c>
      <c r="C26" s="4">
        <f>IFERROR(Merged_data[[#This Row],[AAPL_Close]]/Merged_data!B25-1,"")</f>
        <v>-5.5365797565609665E-4</v>
      </c>
      <c r="D26" s="4">
        <f t="shared" si="0"/>
        <v>1.4559998240943728E-2</v>
      </c>
      <c r="E26">
        <f t="shared" ca="1" si="1"/>
        <v>1.1364642597464059</v>
      </c>
      <c r="F26">
        <f t="shared" ca="1" si="1"/>
        <v>-1.1030797323446953E-2</v>
      </c>
      <c r="G26">
        <f t="shared" ca="1" si="1"/>
        <v>7.435377030755469E-2</v>
      </c>
      <c r="H26">
        <f ca="1"/>
        <v>1.1364642597464059</v>
      </c>
      <c r="I26">
        <f ca="1"/>
        <v>4.8652758806516122E-2</v>
      </c>
      <c r="J26">
        <f ca="1"/>
        <v>0.37912359072402446</v>
      </c>
      <c r="K26">
        <v>24</v>
      </c>
      <c r="L26">
        <f t="shared" ca="1" si="2"/>
        <v>113448.01699453776</v>
      </c>
      <c r="M26">
        <f t="shared" ca="1" si="3"/>
        <v>4123.2617582653793</v>
      </c>
      <c r="N26">
        <f t="shared" ca="1" si="4"/>
        <v>263.34429337610368</v>
      </c>
      <c r="O26" s="4">
        <f t="shared" ca="1" si="5"/>
        <v>1.3683917944880695E-2</v>
      </c>
      <c r="P26" s="4">
        <f t="shared" ca="1" si="6"/>
        <v>7.4812616170938182E-3</v>
      </c>
      <c r="Q26" s="4">
        <f t="shared" ca="1" si="7"/>
        <v>-3.5164262479087278E-2</v>
      </c>
      <c r="R26" s="4" cm="1">
        <f t="array" aca="1" ref="R26" ca="1">_xlfn._xlws.SORT(SUMPRODUCT($U$2:$W$2,O26:Q26))</f>
        <v>-3.4515987134244482E-3</v>
      </c>
      <c r="S26" s="4">
        <f ca="1"/>
        <v>-2.2413142209602575E-2</v>
      </c>
      <c r="T26" s="7" t="s">
        <v>59</v>
      </c>
      <c r="U26" s="10">
        <f ca="1">ABS(U25*U24)</f>
        <v>36995.535055472501</v>
      </c>
      <c r="V26" s="10">
        <f ca="1">ABS(V25*V24)</f>
        <v>28559.017012131484</v>
      </c>
    </row>
    <row r="27" spans="1:23" x14ac:dyDescent="0.25">
      <c r="A27" s="4">
        <f>IFERROR(Merged_data[[#This Row],[BTCUSD_Close]]/Merged_data!D26-1,"")</f>
        <v>1.2912386549814192E-2</v>
      </c>
      <c r="B27" s="4">
        <f>IFERROR(Merged_data[[#This Row],[XAUUSD_Close]]/Merged_data!C26-1, "")</f>
        <v>5.504667206637448E-3</v>
      </c>
      <c r="C27" s="4">
        <f>IFERROR(Merged_data[[#This Row],[AAPL_Close]]/Merged_data!B26-1,"")</f>
        <v>1.0214256494170515E-2</v>
      </c>
      <c r="D27" s="4">
        <f t="shared" si="0"/>
        <v>9.139859795850391E-3</v>
      </c>
      <c r="E27">
        <f t="shared" ca="1" si="1"/>
        <v>0.7294415984721615</v>
      </c>
      <c r="F27">
        <f t="shared" ca="1" si="1"/>
        <v>-0.71539740242825034</v>
      </c>
      <c r="G27">
        <f t="shared" ca="1" si="1"/>
        <v>0.86955426256540103</v>
      </c>
      <c r="H27">
        <f ca="1"/>
        <v>0.7294415984721615</v>
      </c>
      <c r="I27">
        <f ca="1"/>
        <v>-0.6761124528754574</v>
      </c>
      <c r="J27">
        <f ca="1"/>
        <v>1.0369800331065018</v>
      </c>
      <c r="K27">
        <v>25</v>
      </c>
      <c r="L27">
        <f t="shared" ca="1" si="2"/>
        <v>112202.93044143748</v>
      </c>
      <c r="M27">
        <f t="shared" ca="1" si="3"/>
        <v>4086.9684878629469</v>
      </c>
      <c r="N27">
        <f t="shared" ca="1" si="4"/>
        <v>266.93883809141971</v>
      </c>
      <c r="O27" s="4">
        <f t="shared" ca="1" si="5"/>
        <v>-1.1035621195371499E-2</v>
      </c>
      <c r="P27" s="4">
        <f t="shared" ca="1" si="6"/>
        <v>-8.8410448225194564E-3</v>
      </c>
      <c r="Q27" s="4">
        <f t="shared" ca="1" si="7"/>
        <v>1.3557284998433797E-2</v>
      </c>
      <c r="R27" s="4" cm="1">
        <f t="array" aca="1" ref="R27" ca="1">_xlfn._xlws.SORT(SUMPRODUCT($U$2:$W$2,O27:Q27))</f>
        <v>-2.7799187880890933E-3</v>
      </c>
      <c r="S27" s="4">
        <f ca="1"/>
        <v>-2.2267000675090604E-2</v>
      </c>
    </row>
    <row r="28" spans="1:23" x14ac:dyDescent="0.25">
      <c r="A28" s="4">
        <f>IFERROR(Merged_data[[#This Row],[BTCUSD_Close]]/Merged_data!D27-1,"")</f>
        <v>-2.0207694472229698E-2</v>
      </c>
      <c r="B28" s="4">
        <f>IFERROR(Merged_data[[#This Row],[XAUUSD_Close]]/Merged_data!C27-1, "")</f>
        <v>-4.2992618248565151E-3</v>
      </c>
      <c r="C28" s="4">
        <f>IFERROR(Merged_data[[#This Row],[AAPL_Close]]/Merged_data!B27-1,"")</f>
        <v>9.5246531600505779E-3</v>
      </c>
      <c r="D28" s="4">
        <f t="shared" si="0"/>
        <v>-4.9246171235963424E-3</v>
      </c>
      <c r="E28">
        <f t="shared" ca="1" si="1"/>
        <v>0.64824304969001845</v>
      </c>
      <c r="F28">
        <f t="shared" ca="1" si="1"/>
        <v>-0.3607153649638104</v>
      </c>
      <c r="G28">
        <f t="shared" ca="1" si="1"/>
        <v>-0.35033037814972251</v>
      </c>
      <c r="H28">
        <f ca="1"/>
        <v>0.64824304969001845</v>
      </c>
      <c r="I28">
        <f ca="1"/>
        <v>-0.32618282130953474</v>
      </c>
      <c r="J28">
        <f ca="1"/>
        <v>-0.16059967581580389</v>
      </c>
      <c r="K28">
        <v>26</v>
      </c>
      <c r="L28">
        <f t="shared" ca="1" si="2"/>
        <v>111956.05072250575</v>
      </c>
      <c r="M28">
        <f t="shared" ca="1" si="3"/>
        <v>4104.4496513911708</v>
      </c>
      <c r="N28">
        <f t="shared" ca="1" si="4"/>
        <v>260.43078008840831</v>
      </c>
      <c r="O28" s="4">
        <f t="shared" ca="1" si="5"/>
        <v>-2.2027207428501196E-3</v>
      </c>
      <c r="P28" s="4">
        <f t="shared" ca="1" si="6"/>
        <v>4.2681718279599674E-3</v>
      </c>
      <c r="Q28" s="4">
        <f t="shared" ca="1" si="7"/>
        <v>-2.4682454887405093E-2</v>
      </c>
      <c r="R28" s="4" cm="1">
        <f t="array" aca="1" ref="R28" ca="1">_xlfn._xlws.SORT(SUMPRODUCT($U$2:$W$2,O28:Q28))</f>
        <v>-6.3582839578925771E-3</v>
      </c>
      <c r="S28" s="4">
        <f ca="1"/>
        <v>-2.2126512722845416E-2</v>
      </c>
    </row>
    <row r="29" spans="1:23" x14ac:dyDescent="0.25">
      <c r="A29" s="4">
        <f>IFERROR(Merged_data[[#This Row],[BTCUSD_Close]]/Merged_data!D28-1,"")</f>
        <v>7.8076768676216268E-3</v>
      </c>
      <c r="B29" s="4">
        <f>IFERROR(Merged_data[[#This Row],[XAUUSD_Close]]/Merged_data!C28-1, "")</f>
        <v>1.7449394860291623E-3</v>
      </c>
      <c r="C29" s="4">
        <f>IFERROR(Merged_data[[#This Row],[AAPL_Close]]/Merged_data!B28-1,"")</f>
        <v>1.2773318513999543E-2</v>
      </c>
      <c r="D29" s="4">
        <f t="shared" si="0"/>
        <v>6.8722744088980155E-3</v>
      </c>
      <c r="E29">
        <f t="shared" ca="1" si="1"/>
        <v>0.4198386965539434</v>
      </c>
      <c r="F29">
        <f t="shared" ca="1" si="1"/>
        <v>-1.1210964127193641</v>
      </c>
      <c r="G29">
        <f t="shared" ca="1" si="1"/>
        <v>-1.7239742052547486</v>
      </c>
      <c r="H29">
        <f ca="1"/>
        <v>0.4198386965539434</v>
      </c>
      <c r="I29">
        <f ca="1"/>
        <v>-1.0975071323363108</v>
      </c>
      <c r="J29">
        <f ca="1"/>
        <v>-1.5421439789977713</v>
      </c>
      <c r="K29">
        <v>27</v>
      </c>
      <c r="L29">
        <f t="shared" ca="1" si="2"/>
        <v>111264.80672219596</v>
      </c>
      <c r="M29">
        <f t="shared" ca="1" si="3"/>
        <v>4066.0120933986109</v>
      </c>
      <c r="N29">
        <f t="shared" ca="1" si="4"/>
        <v>253.11988253670492</v>
      </c>
      <c r="O29" s="4">
        <f t="shared" ca="1" si="5"/>
        <v>-6.1933836988432691E-3</v>
      </c>
      <c r="P29" s="4">
        <f t="shared" ca="1" si="6"/>
        <v>-9.4089765700260206E-3</v>
      </c>
      <c r="Q29" s="4">
        <f t="shared" ca="1" si="7"/>
        <v>-2.8473885935973338E-2</v>
      </c>
      <c r="R29" s="4" cm="1">
        <f t="array" aca="1" ref="R29" ca="1">_xlfn._xlws.SORT(SUMPRODUCT($U$2:$W$2,O29:Q29))</f>
        <v>-1.416377151845539E-2</v>
      </c>
      <c r="S29" s="4">
        <f ca="1"/>
        <v>-2.1924296468498881E-2</v>
      </c>
    </row>
    <row r="30" spans="1:23" x14ac:dyDescent="0.25">
      <c r="A30" s="4">
        <f>IFERROR(Merged_data[[#This Row],[BTCUSD_Close]]/Merged_data!D29-1,"")</f>
        <v>2.2484425538995989E-2</v>
      </c>
      <c r="B30" s="4">
        <f>IFERROR(Merged_data[[#This Row],[XAUUSD_Close]]/Merged_data!C29-1, "")</f>
        <v>2.4322294995773319E-3</v>
      </c>
      <c r="C30" s="4">
        <f>IFERROR(Merged_data[[#This Row],[AAPL_Close]]/Merged_data!B29-1,"")</f>
        <v>1.4811208660638897E-3</v>
      </c>
      <c r="D30" s="4">
        <f t="shared" si="0"/>
        <v>8.1625557213488957E-3</v>
      </c>
      <c r="E30">
        <f t="shared" ca="1" si="1"/>
        <v>-0.7337193468039519</v>
      </c>
      <c r="F30">
        <f t="shared" ca="1" si="1"/>
        <v>0.13638708007956704</v>
      </c>
      <c r="G30">
        <f t="shared" ca="1" si="1"/>
        <v>-1.2076077155833742</v>
      </c>
      <c r="H30">
        <f ca="1"/>
        <v>-0.7337193468039519</v>
      </c>
      <c r="I30">
        <f ca="1"/>
        <v>9.7676139288989924E-2</v>
      </c>
      <c r="J30">
        <f ca="1"/>
        <v>-1.3615590726739883</v>
      </c>
      <c r="K30">
        <v>28</v>
      </c>
      <c r="L30">
        <f t="shared" ca="1" si="2"/>
        <v>107838.98651595533</v>
      </c>
      <c r="M30">
        <f t="shared" ca="1" si="3"/>
        <v>4125.7232393393906</v>
      </c>
      <c r="N30">
        <f t="shared" ca="1" si="4"/>
        <v>254.06347686988687</v>
      </c>
      <c r="O30" s="4">
        <f t="shared" ca="1" si="5"/>
        <v>-3.1273757236913738E-2</v>
      </c>
      <c r="P30" s="4">
        <f t="shared" ca="1" si="6"/>
        <v>1.4578645691086869E-2</v>
      </c>
      <c r="Q30" s="4">
        <f t="shared" ca="1" si="7"/>
        <v>3.7209242155714921E-3</v>
      </c>
      <c r="R30" s="4" cm="1">
        <f t="array" aca="1" ref="R30" ca="1">_xlfn._xlws.SORT(SUMPRODUCT($U$2:$W$2,O30:Q30))</f>
        <v>-2.4343916299679252E-3</v>
      </c>
      <c r="S30" s="4">
        <f ca="1"/>
        <v>-2.1444529412489907E-2</v>
      </c>
    </row>
    <row r="31" spans="1:23" x14ac:dyDescent="0.25">
      <c r="A31" s="4">
        <f>IFERROR(Merged_data[[#This Row],[BTCUSD_Close]]/Merged_data!D30-1,"")</f>
        <v>-1.6020278112027997E-2</v>
      </c>
      <c r="B31" s="4">
        <f>IFERROR(Merged_data[[#This Row],[XAUUSD_Close]]/Merged_data!C30-1, "")</f>
        <v>-6.8337172818331293E-3</v>
      </c>
      <c r="C31" s="4">
        <f>IFERROR(Merged_data[[#This Row],[AAPL_Close]]/Merged_data!B30-1,"")</f>
        <v>1.2358749788865531E-4</v>
      </c>
      <c r="D31" s="4">
        <f t="shared" si="0"/>
        <v>-7.5024940969750549E-3</v>
      </c>
      <c r="E31">
        <f t="shared" ca="1" si="1"/>
        <v>1.6329967402795986</v>
      </c>
      <c r="F31">
        <f t="shared" ca="1" si="1"/>
        <v>-0.75436517166519401</v>
      </c>
      <c r="G31">
        <f t="shared" ca="1" si="1"/>
        <v>0.81033477662754239</v>
      </c>
      <c r="H31">
        <f ca="1"/>
        <v>1.6329967402795986</v>
      </c>
      <c r="I31">
        <f ca="1"/>
        <v>-0.66758667558282059</v>
      </c>
      <c r="J31">
        <f ca="1"/>
        <v>1.2245905588198436</v>
      </c>
      <c r="K31">
        <v>29</v>
      </c>
      <c r="L31">
        <f t="shared" ca="1" si="2"/>
        <v>114984.5828678299</v>
      </c>
      <c r="M31">
        <f t="shared" ca="1" si="3"/>
        <v>4087.388662125777</v>
      </c>
      <c r="N31">
        <f t="shared" ca="1" si="4"/>
        <v>267.97206011792906</v>
      </c>
      <c r="O31" s="4">
        <f t="shared" ca="1" si="5"/>
        <v>6.4158808271967752E-2</v>
      </c>
      <c r="P31" s="4">
        <f t="shared" ca="1" si="6"/>
        <v>-9.3350379382174647E-3</v>
      </c>
      <c r="Q31" s="4">
        <f t="shared" ca="1" si="7"/>
        <v>5.3298577051732673E-2</v>
      </c>
      <c r="R31" s="4" cm="1">
        <f t="array" aca="1" ref="R31" ca="1">_xlfn._xlws.SORT(SUMPRODUCT($U$2:$W$2,O31:Q31))</f>
        <v>3.1503200421823141E-2</v>
      </c>
      <c r="S31" s="4">
        <f ca="1"/>
        <v>-2.1308397447212135E-2</v>
      </c>
    </row>
    <row r="32" spans="1:23" x14ac:dyDescent="0.25">
      <c r="A32" s="4">
        <f>IFERROR(Merged_data[[#This Row],[BTCUSD_Close]]/Merged_data!D31-1,"")</f>
        <v>4.9402560940438045E-2</v>
      </c>
      <c r="B32" s="4">
        <f>IFERROR(Merged_data[[#This Row],[XAUUSD_Close]]/Merged_data!C31-1, "")</f>
        <v>0</v>
      </c>
      <c r="C32" s="4">
        <f>IFERROR(Merged_data[[#This Row],[AAPL_Close]]/Merged_data!B31-1,"")</f>
        <v>-8.2381483937665756E-4</v>
      </c>
      <c r="D32" s="4">
        <f t="shared" si="0"/>
        <v>1.4573623830318416E-2</v>
      </c>
      <c r="E32">
        <f t="shared" ca="1" si="1"/>
        <v>-0.41104744442438779</v>
      </c>
      <c r="F32">
        <f t="shared" ca="1" si="1"/>
        <v>-0.30819002276629953</v>
      </c>
      <c r="G32">
        <f t="shared" ca="1" si="1"/>
        <v>-1.9262182759368245</v>
      </c>
      <c r="H32">
        <f ca="1"/>
        <v>-0.41104744442438779</v>
      </c>
      <c r="I32">
        <f ca="1"/>
        <v>-0.32934637482587481</v>
      </c>
      <c r="J32">
        <f ca="1"/>
        <v>-1.964499562444852</v>
      </c>
      <c r="K32">
        <v>30</v>
      </c>
      <c r="L32">
        <f t="shared" ca="1" si="2"/>
        <v>108786.11899160857</v>
      </c>
      <c r="M32">
        <f t="shared" ca="1" si="3"/>
        <v>4104.2863615154984</v>
      </c>
      <c r="N32">
        <f t="shared" ca="1" si="4"/>
        <v>250.92550320625449</v>
      </c>
      <c r="O32" s="4">
        <f t="shared" ca="1" si="5"/>
        <v>-5.5414313872514505E-2</v>
      </c>
      <c r="P32" s="4">
        <f t="shared" ca="1" si="6"/>
        <v>4.1255844032256107E-3</v>
      </c>
      <c r="Q32" s="4">
        <f t="shared" ca="1" si="7"/>
        <v>-6.5726626681922501E-2</v>
      </c>
      <c r="R32" s="4" cm="1">
        <f t="array" aca="1" ref="R32" ca="1">_xlfn._xlws.SORT(SUMPRODUCT($U$2:$W$2,O32:Q32))</f>
        <v>-3.4692048405040858E-2</v>
      </c>
      <c r="S32" s="4">
        <f ca="1"/>
        <v>-2.1069712544285777E-2</v>
      </c>
    </row>
    <row r="33" spans="1:19" x14ac:dyDescent="0.25">
      <c r="A33" s="4">
        <f>IFERROR(Merged_data[[#This Row],[BTCUSD_Close]]/Merged_data!D32-1,"")</f>
        <v>-4.4561994542785976E-2</v>
      </c>
      <c r="B33" s="4">
        <f>IFERROR(Merged_data[[#This Row],[XAUUSD_Close]]/Merged_data!C32-1, "")</f>
        <v>1.0794134465051952E-2</v>
      </c>
      <c r="C33" s="4">
        <f>IFERROR(Merged_data[[#This Row],[AAPL_Close]]/Merged_data!B32-1,"")</f>
        <v>1.6102369183709664E-2</v>
      </c>
      <c r="D33" s="4">
        <f t="shared" si="0"/>
        <v>-4.2202338217021138E-3</v>
      </c>
      <c r="E33">
        <f t="shared" ca="1" si="1"/>
        <v>0.9281817612061366</v>
      </c>
      <c r="F33">
        <f t="shared" ca="1" si="1"/>
        <v>-6.5608291743378747E-2</v>
      </c>
      <c r="G33">
        <f t="shared" ca="1" si="1"/>
        <v>1.409735988531216</v>
      </c>
      <c r="H33">
        <f ca="1"/>
        <v>0.9281817612061366</v>
      </c>
      <c r="I33">
        <f ca="1"/>
        <v>-1.6785017513590315E-2</v>
      </c>
      <c r="J33">
        <f ca="1"/>
        <v>1.6085170706396341</v>
      </c>
      <c r="K33">
        <v>31</v>
      </c>
      <c r="L33">
        <f t="shared" ca="1" si="2"/>
        <v>112808.08200380133</v>
      </c>
      <c r="M33">
        <f t="shared" ca="1" si="3"/>
        <v>4119.9632036045041</v>
      </c>
      <c r="N33">
        <f t="shared" ca="1" si="4"/>
        <v>270.10035523178533</v>
      </c>
      <c r="O33" s="4">
        <f t="shared" ca="1" si="5"/>
        <v>3.6304241982414082E-2</v>
      </c>
      <c r="P33" s="4">
        <f t="shared" ca="1" si="6"/>
        <v>3.8123505256404152E-3</v>
      </c>
      <c r="Q33" s="4">
        <f t="shared" ca="1" si="7"/>
        <v>7.3637480881005468E-2</v>
      </c>
      <c r="R33" s="4" cm="1">
        <f t="array" aca="1" ref="R33" ca="1">_xlfn._xlws.SORT(SUMPRODUCT($U$2:$W$2,O33:Q33))</f>
        <v>3.450745706928203E-2</v>
      </c>
      <c r="S33" s="4">
        <f ca="1"/>
        <v>-2.1055206114780588E-2</v>
      </c>
    </row>
    <row r="34" spans="1:19" x14ac:dyDescent="0.25">
      <c r="A34" s="4">
        <f>IFERROR(Merged_data[[#This Row],[BTCUSD_Close]]/Merged_data!D33-1,"")</f>
        <v>-9.7945010578059932E-4</v>
      </c>
      <c r="B34" s="4">
        <f>IFERROR(Merged_data[[#This Row],[XAUUSD_Close]]/Merged_data!C33-1, "")</f>
        <v>1.2610909282268379E-2</v>
      </c>
      <c r="C34" s="4">
        <f>IFERROR(Merged_data[[#This Row],[AAPL_Close]]/Merged_data!B33-1,"")</f>
        <v>4.1342264452548516E-3</v>
      </c>
      <c r="D34" s="4">
        <f t="shared" si="0"/>
        <v>5.9907966147496276E-3</v>
      </c>
      <c r="E34">
        <f t="shared" ca="1" si="1"/>
        <v>1.0553377321423916</v>
      </c>
      <c r="F34">
        <f t="shared" ca="1" si="1"/>
        <v>0.16423288016722903</v>
      </c>
      <c r="G34">
        <f t="shared" ca="1" si="1"/>
        <v>-0.44189833300286357</v>
      </c>
      <c r="H34">
        <f ca="1"/>
        <v>1.0553377321423916</v>
      </c>
      <c r="I34">
        <f ca="1"/>
        <v>0.21941527623898416</v>
      </c>
      <c r="J34">
        <f ca="1"/>
        <v>-0.14043019146805258</v>
      </c>
      <c r="K34">
        <v>32</v>
      </c>
      <c r="L34">
        <f t="shared" ca="1" si="2"/>
        <v>113197.44937175504</v>
      </c>
      <c r="M34">
        <f t="shared" ca="1" si="3"/>
        <v>4131.8494857664391</v>
      </c>
      <c r="N34">
        <f t="shared" ca="1" si="4"/>
        <v>260.53772628948531</v>
      </c>
      <c r="O34" s="4">
        <f t="shared" ca="1" si="5"/>
        <v>3.4456479964343942E-3</v>
      </c>
      <c r="P34" s="4">
        <f t="shared" ca="1" si="6"/>
        <v>2.880891951930125E-3</v>
      </c>
      <c r="Q34" s="4">
        <f t="shared" ca="1" si="7"/>
        <v>-3.6045902667849093E-2</v>
      </c>
      <c r="R34" s="4" cm="1">
        <f t="array" aca="1" ref="R34" ca="1">_xlfn._xlws.SORT(SUMPRODUCT($U$2:$W$2,O34:Q34))</f>
        <v>-8.6277196206523583E-3</v>
      </c>
      <c r="S34" s="4">
        <f ca="1"/>
        <v>-2.1047505469906781E-2</v>
      </c>
    </row>
    <row r="35" spans="1:19" x14ac:dyDescent="0.25">
      <c r="A35" s="4">
        <f>IFERROR(Merged_data[[#This Row],[BTCUSD_Close]]/Merged_data!D34-1,"")</f>
        <v>4.4931691197566126E-2</v>
      </c>
      <c r="B35" s="4">
        <f>IFERROR(Merged_data[[#This Row],[XAUUSD_Close]]/Merged_data!C34-1, "")</f>
        <v>8.9775403729475123E-3</v>
      </c>
      <c r="C35" s="4">
        <f>IFERROR(Merged_data[[#This Row],[AAPL_Close]]/Merged_data!B34-1,"")</f>
        <v>-5.1677185270183612E-3</v>
      </c>
      <c r="D35" s="4">
        <f t="shared" si="0"/>
        <v>1.5520207950343335E-2</v>
      </c>
      <c r="E35">
        <f t="shared" ca="1" si="1"/>
        <v>-0.66602822846861309</v>
      </c>
      <c r="F35">
        <f t="shared" ca="1" si="1"/>
        <v>1.5627812062637556</v>
      </c>
      <c r="G35">
        <f t="shared" ca="1" si="1"/>
        <v>8.3363774498811563E-2</v>
      </c>
      <c r="H35">
        <f ca="1"/>
        <v>-0.66602822846861309</v>
      </c>
      <c r="I35">
        <f ca="1"/>
        <v>1.5256569178955905</v>
      </c>
      <c r="J35">
        <f ca="1"/>
        <v>-0.10541147604665586</v>
      </c>
      <c r="K35">
        <v>33</v>
      </c>
      <c r="L35">
        <f t="shared" ca="1" si="2"/>
        <v>108036.26273751818</v>
      </c>
      <c r="M35">
        <f t="shared" ca="1" si="3"/>
        <v>4198.2109446914092</v>
      </c>
      <c r="N35">
        <f t="shared" ca="1" si="4"/>
        <v>260.72560723694789</v>
      </c>
      <c r="O35" s="4">
        <f t="shared" ca="1" si="5"/>
        <v>-4.6666696608065369E-2</v>
      </c>
      <c r="P35" s="4">
        <f t="shared" ca="1" si="6"/>
        <v>1.5933344881035143E-2</v>
      </c>
      <c r="Q35" s="4">
        <f t="shared" ca="1" si="7"/>
        <v>7.2086772084122193E-4</v>
      </c>
      <c r="R35" s="4" cm="1">
        <f t="array" aca="1" ref="R35" ca="1">_xlfn._xlws.SORT(SUMPRODUCT($U$2:$W$2,O35:Q35))</f>
        <v>-7.4104107137531868E-3</v>
      </c>
      <c r="S35" s="4">
        <f ca="1"/>
        <v>-2.0486792384402625E-2</v>
      </c>
    </row>
    <row r="36" spans="1:19" x14ac:dyDescent="0.25">
      <c r="A36" s="4">
        <f>IFERROR(Merged_data[[#This Row],[BTCUSD_Close]]/Merged_data!D35-1,"")</f>
        <v>-7.7529332753920599E-3</v>
      </c>
      <c r="B36" s="4">
        <f>IFERROR(Merged_data[[#This Row],[XAUUSD_Close]]/Merged_data!C35-1, "")</f>
        <v>-1.3709793129835668E-2</v>
      </c>
      <c r="C36" s="4">
        <f>IFERROR(Merged_data[[#This Row],[AAPL_Close]]/Merged_data!B35-1,"")</f>
        <v>5.9662333126200284E-3</v>
      </c>
      <c r="D36" s="4">
        <f t="shared" si="0"/>
        <v>-6.0199272407658764E-3</v>
      </c>
      <c r="E36">
        <f t="shared" ca="1" si="1"/>
        <v>2.8524727098978846E-2</v>
      </c>
      <c r="F36">
        <f t="shared" ca="1" si="1"/>
        <v>0.71185975535950052</v>
      </c>
      <c r="G36">
        <f t="shared" ca="1" si="1"/>
        <v>0.54405508484352483</v>
      </c>
      <c r="H36">
        <f ca="1"/>
        <v>2.8524727098978846E-2</v>
      </c>
      <c r="I36">
        <f ca="1"/>
        <v>0.71237556380288691</v>
      </c>
      <c r="J36">
        <f ca="1"/>
        <v>0.52899236897232438</v>
      </c>
      <c r="K36">
        <v>34</v>
      </c>
      <c r="L36">
        <f t="shared" ca="1" si="2"/>
        <v>110089.57846604522</v>
      </c>
      <c r="M36">
        <f t="shared" ca="1" si="3"/>
        <v>4156.7673669297965</v>
      </c>
      <c r="N36">
        <f t="shared" ca="1" si="4"/>
        <v>264.15669747477557</v>
      </c>
      <c r="O36" s="4">
        <f t="shared" ca="1" si="5"/>
        <v>1.8827447225400102E-2</v>
      </c>
      <c r="P36" s="4">
        <f t="shared" ca="1" si="6"/>
        <v>-9.9207720541304931E-3</v>
      </c>
      <c r="Q36" s="4">
        <f t="shared" ca="1" si="7"/>
        <v>1.3073937068515815E-2</v>
      </c>
      <c r="R36" s="4" cm="1">
        <f t="array" aca="1" ref="R36" ca="1">_xlfn._xlws.SORT(SUMPRODUCT($U$2:$W$2,O36:Q36))</f>
        <v>5.6021064665225774E-3</v>
      </c>
      <c r="S36" s="4">
        <f ca="1"/>
        <v>-1.9354755507559961E-2</v>
      </c>
    </row>
    <row r="37" spans="1:19" x14ac:dyDescent="0.25">
      <c r="A37" s="4">
        <f>IFERROR(Merged_data[[#This Row],[BTCUSD_Close]]/Merged_data!D36-1,"")</f>
        <v>1.158589387560105E-2</v>
      </c>
      <c r="B37" s="4">
        <f>IFERROR(Merged_data[[#This Row],[XAUUSD_Close]]/Merged_data!C36-1, "")</f>
        <v>-1.2363546840292172E-2</v>
      </c>
      <c r="C37" s="4">
        <f>IFERROR(Merged_data[[#This Row],[AAPL_Close]]/Merged_data!B36-1,"")</f>
        <v>6.8231000290697175E-4</v>
      </c>
      <c r="D37" s="4">
        <f t="shared" si="0"/>
        <v>-1.2649575725644626E-3</v>
      </c>
      <c r="E37">
        <f t="shared" ca="1" si="1"/>
        <v>-1.9516802623262814</v>
      </c>
      <c r="F37">
        <f t="shared" ca="1" si="1"/>
        <v>3.0981617260174281</v>
      </c>
      <c r="G37">
        <f t="shared" ca="1" si="1"/>
        <v>-6.9516432626485505E-2</v>
      </c>
      <c r="H37">
        <f ca="1"/>
        <v>-1.9516802623262814</v>
      </c>
      <c r="I37">
        <f ca="1"/>
        <v>2.9914185286317077</v>
      </c>
      <c r="J37">
        <f ca="1"/>
        <v>-0.60581563774409175</v>
      </c>
      <c r="K37">
        <v>35</v>
      </c>
      <c r="L37">
        <f t="shared" ca="1" si="2"/>
        <v>104335.40034853044</v>
      </c>
      <c r="M37">
        <f t="shared" ca="1" si="3"/>
        <v>4273.9452759661935</v>
      </c>
      <c r="N37">
        <f t="shared" ca="1" si="4"/>
        <v>258.05009196078777</v>
      </c>
      <c r="O37" s="4">
        <f t="shared" ca="1" si="5"/>
        <v>-5.3683670757880733E-2</v>
      </c>
      <c r="P37" s="4">
        <f t="shared" ca="1" si="6"/>
        <v>2.7799655939899696E-2</v>
      </c>
      <c r="Q37" s="4">
        <f t="shared" ca="1" si="7"/>
        <v>-2.3388757142614968E-2</v>
      </c>
      <c r="R37" s="4" cm="1">
        <f t="array" aca="1" ref="R37" ca="1">_xlfn._xlws.SORT(SUMPRODUCT($U$2:$W$2,O37:Q37))</f>
        <v>-1.2001865994188829E-2</v>
      </c>
      <c r="S37" s="4">
        <f ca="1"/>
        <v>-1.9158904571365428E-2</v>
      </c>
    </row>
    <row r="38" spans="1:19" x14ac:dyDescent="0.25">
      <c r="A38" s="4">
        <f>IFERROR(Merged_data[[#This Row],[BTCUSD_Close]]/Merged_data!D37-1,"")</f>
        <v>4.1453887101376541E-2</v>
      </c>
      <c r="B38" s="4">
        <f>IFERROR(Merged_data[[#This Row],[XAUUSD_Close]]/Merged_data!C37-1, "")</f>
        <v>1.8903056214403247E-3</v>
      </c>
      <c r="C38" s="4">
        <f>IFERROR(Merged_data[[#This Row],[AAPL_Close]]/Merged_data!B37-1,"")</f>
        <v>1.1728537019329632E-2</v>
      </c>
      <c r="D38" s="4">
        <f t="shared" si="0"/>
        <v>1.671084948478798E-2</v>
      </c>
      <c r="E38">
        <f t="shared" ca="1" si="1"/>
        <v>-1.3058198758429092</v>
      </c>
      <c r="F38">
        <f t="shared" ca="1" si="1"/>
        <v>-0.14132204180350399</v>
      </c>
      <c r="G38">
        <f t="shared" ca="1" si="1"/>
        <v>-4.1993838056945586E-2</v>
      </c>
      <c r="H38">
        <f ca="1"/>
        <v>-1.3058198758429092</v>
      </c>
      <c r="I38">
        <f ca="1"/>
        <v>-0.2096872250126201</v>
      </c>
      <c r="J38">
        <f ca="1"/>
        <v>-0.39326398930811213</v>
      </c>
      <c r="K38">
        <v>36</v>
      </c>
      <c r="L38">
        <f t="shared" ca="1" si="2"/>
        <v>106178.12768344657</v>
      </c>
      <c r="M38">
        <f t="shared" ca="1" si="3"/>
        <v>4110.2740337184205</v>
      </c>
      <c r="N38">
        <f t="shared" ca="1" si="4"/>
        <v>259.18276415828529</v>
      </c>
      <c r="O38" s="4">
        <f t="shared" ca="1" si="5"/>
        <v>1.7507420256834907E-2</v>
      </c>
      <c r="P38" s="4">
        <f t="shared" ca="1" si="6"/>
        <v>-3.904765172019619E-2</v>
      </c>
      <c r="Q38" s="4">
        <f t="shared" ca="1" si="7"/>
        <v>4.3797450014597533E-3</v>
      </c>
      <c r="R38" s="4" cm="1">
        <f t="array" aca="1" ref="R38" ca="1">_xlfn._xlws.SORT(SUMPRODUCT($U$2:$W$2,O38:Q38))</f>
        <v>-9.0529111105900791E-3</v>
      </c>
      <c r="S38" s="4">
        <f ca="1"/>
        <v>-1.8974056868879041E-2</v>
      </c>
    </row>
    <row r="39" spans="1:19" x14ac:dyDescent="0.25">
      <c r="A39" s="4">
        <f>IFERROR(Merged_data[[#This Row],[BTCUSD_Close]]/Merged_data!D38-1,"")</f>
        <v>1.303805600695318E-3</v>
      </c>
      <c r="B39" s="4">
        <f>IFERROR(Merged_data[[#This Row],[XAUUSD_Close]]/Merged_data!C38-1, "")</f>
        <v>-2.297637335192948E-3</v>
      </c>
      <c r="C39" s="4">
        <f>IFERROR(Merged_data[[#This Row],[AAPL_Close]]/Merged_data!B38-1,"")</f>
        <v>9.7222886857761814E-3</v>
      </c>
      <c r="D39" s="4">
        <f t="shared" si="0"/>
        <v>2.3887733518642706E-3</v>
      </c>
      <c r="E39">
        <f t="shared" ca="1" si="1"/>
        <v>-0.71798199373086069</v>
      </c>
      <c r="F39">
        <f t="shared" ca="1" si="1"/>
        <v>-9.0337626933956278E-2</v>
      </c>
      <c r="G39">
        <f t="shared" ca="1" si="1"/>
        <v>0.67714888558568387</v>
      </c>
      <c r="H39">
        <f ca="1"/>
        <v>-0.71798199373086069</v>
      </c>
      <c r="I39">
        <f ca="1"/>
        <v>-0.12790958953308879</v>
      </c>
      <c r="J39">
        <f ca="1"/>
        <v>0.45792802974685864</v>
      </c>
      <c r="K39">
        <v>37</v>
      </c>
      <c r="L39">
        <f t="shared" ca="1" si="2"/>
        <v>107883.57083607398</v>
      </c>
      <c r="M39">
        <f t="shared" ca="1" si="3"/>
        <v>4114.3749732601655</v>
      </c>
      <c r="N39">
        <f t="shared" ca="1" si="4"/>
        <v>263.76942039854117</v>
      </c>
      <c r="O39" s="4">
        <f t="shared" ca="1" si="5"/>
        <v>1.5934464218689142E-2</v>
      </c>
      <c r="P39" s="4">
        <f t="shared" ca="1" si="6"/>
        <v>9.972315847449119E-4</v>
      </c>
      <c r="Q39" s="4">
        <f t="shared" ca="1" si="7"/>
        <v>1.7541847958164467E-2</v>
      </c>
      <c r="R39" s="4" cm="1">
        <f t="array" aca="1" ref="R39" ca="1">_xlfn._xlws.SORT(SUMPRODUCT($U$2:$W$2,O39:Q39))</f>
        <v>1.0441786286954047E-2</v>
      </c>
      <c r="S39" s="4">
        <f ca="1"/>
        <v>-1.8533250629087818E-2</v>
      </c>
    </row>
    <row r="40" spans="1:19" x14ac:dyDescent="0.25">
      <c r="A40" s="4">
        <f>IFERROR(Merged_data[[#This Row],[BTCUSD_Close]]/Merged_data!D39-1,"")</f>
        <v>-4.5970070389311446E-2</v>
      </c>
      <c r="B40" s="4">
        <f>IFERROR(Merged_data[[#This Row],[XAUUSD_Close]]/Merged_data!C39-1, "")</f>
        <v>-2.315775155575206E-2</v>
      </c>
      <c r="C40" s="4">
        <f>IFERROR(Merged_data[[#This Row],[AAPL_Close]]/Merged_data!B39-1,"")</f>
        <v>-2.1421631740665581E-2</v>
      </c>
      <c r="D40" s="4">
        <f t="shared" si="0"/>
        <v>-2.9480611261293928E-2</v>
      </c>
      <c r="E40">
        <f t="shared" ca="1" si="1"/>
        <v>0.86448718729643004</v>
      </c>
      <c r="F40">
        <f t="shared" ca="1" si="1"/>
        <v>0.95848485815278806</v>
      </c>
      <c r="G40">
        <f t="shared" ca="1" si="1"/>
        <v>-0.13499502741478986</v>
      </c>
      <c r="H40">
        <f ca="1"/>
        <v>0.86448718729643004</v>
      </c>
      <c r="I40">
        <f ca="1"/>
        <v>1.0025514546485972</v>
      </c>
      <c r="J40">
        <f ca="1"/>
        <v>0.10061220554748893</v>
      </c>
      <c r="K40">
        <v>38</v>
      </c>
      <c r="L40">
        <f t="shared" ca="1" si="2"/>
        <v>112612.29851059668</v>
      </c>
      <c r="M40">
        <f t="shared" ca="1" si="3"/>
        <v>4171.5017019079205</v>
      </c>
      <c r="N40">
        <f t="shared" ca="1" si="4"/>
        <v>261.83390065987146</v>
      </c>
      <c r="O40" s="4">
        <f t="shared" ca="1" si="5"/>
        <v>4.2898334949690906E-2</v>
      </c>
      <c r="P40" s="4">
        <f t="shared" ca="1" si="6"/>
        <v>1.3789158603667858E-2</v>
      </c>
      <c r="Q40" s="4">
        <f t="shared" ca="1" si="7"/>
        <v>-7.3649781503726964E-3</v>
      </c>
      <c r="R40" s="4" cm="1">
        <f t="array" aca="1" ref="R40" ca="1">_xlfn._xlws.SORT(SUMPRODUCT($U$2:$W$2,O40:Q40))</f>
        <v>1.6175670481262606E-2</v>
      </c>
      <c r="S40" s="4">
        <f ca="1"/>
        <v>-1.8207495222015081E-2</v>
      </c>
    </row>
    <row r="41" spans="1:19" x14ac:dyDescent="0.25">
      <c r="A41" s="4">
        <f>IFERROR(Merged_data[[#This Row],[BTCUSD_Close]]/Merged_data!D40-1,"")</f>
        <v>-2.8590643853229181E-2</v>
      </c>
      <c r="B41" s="4">
        <f>IFERROR(Merged_data[[#This Row],[XAUUSD_Close]]/Merged_data!C40-1, "")</f>
        <v>3.4598930894969016E-3</v>
      </c>
      <c r="C41" s="4">
        <f>IFERROR(Merged_data[[#This Row],[AAPL_Close]]/Merged_data!B40-1,"")</f>
        <v>7.0143434848937147E-3</v>
      </c>
      <c r="D41" s="4">
        <f t="shared" si="0"/>
        <v>-5.0889328747018795E-3</v>
      </c>
      <c r="E41">
        <f t="shared" ca="1" si="1"/>
        <v>-0.31805834322522897</v>
      </c>
      <c r="F41">
        <f t="shared" ca="1" si="1"/>
        <v>5.8476873895254015E-2</v>
      </c>
      <c r="G41">
        <f t="shared" ca="1" si="1"/>
        <v>-0.37543952916221779</v>
      </c>
      <c r="H41">
        <f ca="1"/>
        <v>-0.31805834322522897</v>
      </c>
      <c r="I41">
        <f ca="1"/>
        <v>4.1697045536582114E-2</v>
      </c>
      <c r="J41">
        <f ca="1"/>
        <v>-0.44769667168703636</v>
      </c>
      <c r="K41">
        <v>39</v>
      </c>
      <c r="L41">
        <f t="shared" ca="1" si="2"/>
        <v>109059.25318695947</v>
      </c>
      <c r="M41">
        <f t="shared" ca="1" si="3"/>
        <v>4122.8934516191448</v>
      </c>
      <c r="N41">
        <f t="shared" ca="1" si="4"/>
        <v>258.89150467441908</v>
      </c>
      <c r="O41" s="4">
        <f t="shared" ca="1" si="5"/>
        <v>-3.2059591000191248E-2</v>
      </c>
      <c r="P41" s="4">
        <f t="shared" ca="1" si="6"/>
        <v>-1.17208803938847E-2</v>
      </c>
      <c r="Q41" s="4">
        <f t="shared" ca="1" si="7"/>
        <v>-1.1301262706933773E-2</v>
      </c>
      <c r="R41" s="4" cm="1">
        <f t="array" aca="1" ref="R41" ca="1">_xlfn._xlws.SORT(SUMPRODUCT($U$2:$W$2,O41:Q41))</f>
        <v>-1.7696608269691386E-2</v>
      </c>
      <c r="S41" s="4">
        <f ca="1"/>
        <v>-1.7715382650677187E-2</v>
      </c>
    </row>
    <row r="42" spans="1:19" x14ac:dyDescent="0.25">
      <c r="A42" s="4">
        <f>IFERROR(Merged_data[[#This Row],[BTCUSD_Close]]/Merged_data!D41-1,"")</f>
        <v>-1.8385407333800341E-2</v>
      </c>
      <c r="B42" s="4">
        <f>IFERROR(Merged_data[[#This Row],[XAUUSD_Close]]/Merged_data!C41-1, "")</f>
        <v>1.1103251955741245E-2</v>
      </c>
      <c r="C42" s="4">
        <f>IFERROR(Merged_data[[#This Row],[AAPL_Close]]/Merged_data!B41-1,"")</f>
        <v>1.8816428605780811E-2</v>
      </c>
      <c r="D42" s="4">
        <f t="shared" si="0"/>
        <v>4.5706071638906389E-3</v>
      </c>
      <c r="E42">
        <f t="shared" ca="1" si="1"/>
        <v>-0.34078141734295586</v>
      </c>
      <c r="F42">
        <f t="shared" ca="1" si="1"/>
        <v>-0.77783775914858677</v>
      </c>
      <c r="G42">
        <f t="shared" ca="1" si="1"/>
        <v>-4.8678251935167914E-2</v>
      </c>
      <c r="H42">
        <f ca="1"/>
        <v>-0.34078141734295586</v>
      </c>
      <c r="I42">
        <f ca="1"/>
        <v>-0.79465713333962462</v>
      </c>
      <c r="J42">
        <f ca="1"/>
        <v>-0.13635812900429251</v>
      </c>
      <c r="K42">
        <v>40</v>
      </c>
      <c r="L42">
        <f t="shared" ca="1" si="2"/>
        <v>108991.93152709783</v>
      </c>
      <c r="M42">
        <f t="shared" ca="1" si="3"/>
        <v>4081.0446392277604</v>
      </c>
      <c r="N42">
        <f t="shared" ca="1" si="4"/>
        <v>260.55781454613793</v>
      </c>
      <c r="O42" s="4">
        <f t="shared" ca="1" si="5"/>
        <v>-6.1748494592222495E-4</v>
      </c>
      <c r="P42" s="4">
        <f t="shared" ca="1" si="6"/>
        <v>-1.0202216280578418E-2</v>
      </c>
      <c r="Q42" s="4">
        <f t="shared" ca="1" si="7"/>
        <v>6.4157003413778885E-3</v>
      </c>
      <c r="R42" s="4" cm="1">
        <f t="array" aca="1" ref="R42" ca="1">_xlfn._xlws.SORT(SUMPRODUCT($U$2:$W$2,O42:Q42))</f>
        <v>-2.3414218935946685E-3</v>
      </c>
      <c r="S42" s="4">
        <f ca="1"/>
        <v>-1.7696608269691386E-2</v>
      </c>
    </row>
    <row r="43" spans="1:19" x14ac:dyDescent="0.25">
      <c r="A43" s="4">
        <f>IFERROR(Merged_data[[#This Row],[BTCUSD_Close]]/Merged_data!D42-1,"")</f>
        <v>-1.4143262243629939E-2</v>
      </c>
      <c r="B43" s="4">
        <f>IFERROR(Merged_data[[#This Row],[XAUUSD_Close]]/Merged_data!C42-1, "")</f>
        <v>-3.8675760267470327E-3</v>
      </c>
      <c r="C43" s="4">
        <f>IFERROR(Merged_data[[#This Row],[AAPL_Close]]/Merged_data!B42-1,"")</f>
        <v>3.0643835239230199E-3</v>
      </c>
      <c r="D43" s="4">
        <f t="shared" si="0"/>
        <v>-4.8706940266108889E-3</v>
      </c>
      <c r="E43">
        <f t="shared" ca="1" si="1"/>
        <v>-1.17515827586097</v>
      </c>
      <c r="F43">
        <f t="shared" ca="1" si="1"/>
        <v>-0.7110331365828011</v>
      </c>
      <c r="G43">
        <f t="shared" ca="1" si="1"/>
        <v>0.37291840150763994</v>
      </c>
      <c r="H43">
        <f ca="1"/>
        <v>-1.17515827586097</v>
      </c>
      <c r="I43">
        <f ca="1"/>
        <v>-0.77175235012712551</v>
      </c>
      <c r="J43">
        <f ca="1"/>
        <v>4.3509792491721544E-2</v>
      </c>
      <c r="K43">
        <v>41</v>
      </c>
      <c r="L43">
        <f t="shared" ca="1" si="2"/>
        <v>106554.1081787428</v>
      </c>
      <c r="M43">
        <f t="shared" ca="1" si="3"/>
        <v>4082.1838000343823</v>
      </c>
      <c r="N43">
        <f t="shared" ca="1" si="4"/>
        <v>261.52527189297052</v>
      </c>
      <c r="O43" s="4">
        <f t="shared" ca="1" si="5"/>
        <v>-2.2620942654086158E-2</v>
      </c>
      <c r="P43" s="4">
        <f t="shared" ca="1" si="6"/>
        <v>2.7909565988323783E-4</v>
      </c>
      <c r="Q43" s="4">
        <f t="shared" ca="1" si="7"/>
        <v>3.7061474670981652E-3</v>
      </c>
      <c r="R43" s="4" cm="1">
        <f t="array" aca="1" ref="R43" ca="1">_xlfn._xlws.SORT(SUMPRODUCT($U$2:$W$2,O43:Q43))</f>
        <v>-5.5628002921431028E-3</v>
      </c>
      <c r="S43" s="4">
        <f ca="1"/>
        <v>-1.7475073653034048E-2</v>
      </c>
    </row>
    <row r="44" spans="1:19" x14ac:dyDescent="0.25">
      <c r="A44" s="4">
        <f>IFERROR(Merged_data[[#This Row],[BTCUSD_Close]]/Merged_data!D43-1,"")</f>
        <v>3.846509934792075E-2</v>
      </c>
      <c r="B44" s="4">
        <f>IFERROR(Merged_data[[#This Row],[XAUUSD_Close]]/Merged_data!C43-1, "")</f>
        <v>1.238066625971701E-3</v>
      </c>
      <c r="C44" s="4">
        <f>IFERROR(Merged_data[[#This Row],[AAPL_Close]]/Merged_data!B43-1,"")</f>
        <v>1.1474959802345142E-2</v>
      </c>
      <c r="D44" s="4">
        <f t="shared" si="0"/>
        <v>1.5477244395468447E-2</v>
      </c>
      <c r="E44">
        <f t="shared" ca="1" si="1"/>
        <v>0.69302796940506906</v>
      </c>
      <c r="F44">
        <f t="shared" ca="1" si="1"/>
        <v>-2.9757336131103134E-2</v>
      </c>
      <c r="G44">
        <f t="shared" ca="1" si="1"/>
        <v>-0.28224564995560991</v>
      </c>
      <c r="H44">
        <f ca="1"/>
        <v>0.69302796940506906</v>
      </c>
      <c r="I44">
        <f ca="1"/>
        <v>6.6700951780231249E-3</v>
      </c>
      <c r="J44">
        <f ca="1"/>
        <v>-8.409147947520576E-2</v>
      </c>
      <c r="K44">
        <v>42</v>
      </c>
      <c r="L44">
        <f t="shared" ca="1" si="2"/>
        <v>112089.41163881433</v>
      </c>
      <c r="M44">
        <f t="shared" ca="1" si="3"/>
        <v>4121.1285797180681</v>
      </c>
      <c r="N44">
        <f t="shared" ca="1" si="4"/>
        <v>260.83819190895167</v>
      </c>
      <c r="O44" s="4">
        <f t="shared" ca="1" si="5"/>
        <v>5.0643956864240572E-2</v>
      </c>
      <c r="P44" s="4">
        <f t="shared" ca="1" si="6"/>
        <v>9.4949626363208944E-3</v>
      </c>
      <c r="Q44" s="4">
        <f t="shared" ca="1" si="7"/>
        <v>-2.6306601738777941E-3</v>
      </c>
      <c r="R44" s="4" cm="1">
        <f t="array" aca="1" ref="R44" ca="1">_xlfn._xlws.SORT(SUMPRODUCT($U$2:$W$2,O44:Q44))</f>
        <v>1.8201974061637191E-2</v>
      </c>
      <c r="S44" s="4">
        <f ca="1"/>
        <v>-1.7406602256688351E-2</v>
      </c>
    </row>
    <row r="45" spans="1:19" x14ac:dyDescent="0.25">
      <c r="A45" s="4">
        <f>IFERROR(Merged_data[[#This Row],[BTCUSD_Close]]/Merged_data!D44-1,"")</f>
        <v>-3.0367992186890569E-2</v>
      </c>
      <c r="B45" s="4">
        <f>IFERROR(Merged_data[[#This Row],[XAUUSD_Close]]/Merged_data!C44-1, "")</f>
        <v>6.7330994044754178E-3</v>
      </c>
      <c r="C45" s="4">
        <f>IFERROR(Merged_data[[#This Row],[AAPL_Close]]/Merged_data!B44-1,"")</f>
        <v>3.1793297042448376E-3</v>
      </c>
      <c r="D45" s="4">
        <f t="shared" si="0"/>
        <v>-5.4633589830035516E-3</v>
      </c>
      <c r="E45">
        <f t="shared" ca="1" si="1"/>
        <v>1.4303609908847412</v>
      </c>
      <c r="F45">
        <f t="shared" ca="1" si="1"/>
        <v>-0.81696802876758479</v>
      </c>
      <c r="G45">
        <f t="shared" ca="1" si="1"/>
        <v>1.5940371481185109</v>
      </c>
      <c r="H45">
        <f ca="1"/>
        <v>1.4303609908847412</v>
      </c>
      <c r="I45">
        <f ca="1"/>
        <v>-0.74074227148095273</v>
      </c>
      <c r="J45">
        <f ca="1"/>
        <v>1.9244427360498657</v>
      </c>
      <c r="K45">
        <v>43</v>
      </c>
      <c r="L45">
        <f t="shared" ca="1" si="2"/>
        <v>114352.30306040602</v>
      </c>
      <c r="M45">
        <f t="shared" ca="1" si="3"/>
        <v>4083.7257929890397</v>
      </c>
      <c r="N45">
        <f t="shared" ca="1" si="4"/>
        <v>271.86195873597075</v>
      </c>
      <c r="O45" s="4">
        <f t="shared" ca="1" si="5"/>
        <v>1.9987189703216036E-2</v>
      </c>
      <c r="P45" s="4">
        <f t="shared" ca="1" si="6"/>
        <v>-9.1172966934348551E-3</v>
      </c>
      <c r="Q45" s="4">
        <f t="shared" ca="1" si="7"/>
        <v>4.1394172125072695E-2</v>
      </c>
      <c r="R45" s="4" cm="1">
        <f t="array" aca="1" ref="R45" ca="1">_xlfn._xlws.SORT(SUMPRODUCT($U$2:$W$2,O45:Q45))</f>
        <v>1.4767489871112677E-2</v>
      </c>
      <c r="S45" s="4">
        <f ca="1"/>
        <v>-1.6448360027822292E-2</v>
      </c>
    </row>
    <row r="46" spans="1:19" x14ac:dyDescent="0.25">
      <c r="A46" s="4">
        <f>IFERROR(Merged_data[[#This Row],[BTCUSD_Close]]/Merged_data!D45-1,"")</f>
        <v>-1.2625851022480705E-2</v>
      </c>
      <c r="B46" s="4">
        <f>IFERROR(Merged_data[[#This Row],[XAUUSD_Close]]/Merged_data!C45-1, "")</f>
        <v>-6.9253681474831241E-3</v>
      </c>
      <c r="C46" s="4">
        <f>IFERROR(Merged_data[[#This Row],[AAPL_Close]]/Merged_data!B45-1,"")</f>
        <v>-1.3245161090841617E-2</v>
      </c>
      <c r="D46" s="4">
        <f t="shared" si="0"/>
        <v>-1.0531450892989947E-2</v>
      </c>
      <c r="E46">
        <f t="shared" ca="1" si="1"/>
        <v>1.2481609221273264</v>
      </c>
      <c r="F46">
        <f t="shared" ca="1" si="1"/>
        <v>-1.7233424922459528</v>
      </c>
      <c r="G46">
        <f t="shared" ca="1" si="1"/>
        <v>0.20572904585408533</v>
      </c>
      <c r="H46">
        <f ca="1"/>
        <v>1.2481609221273264</v>
      </c>
      <c r="I46">
        <f ca="1"/>
        <v>-1.6554327491652434</v>
      </c>
      <c r="J46">
        <f ca="1"/>
        <v>0.54179244726574383</v>
      </c>
      <c r="K46">
        <v>44</v>
      </c>
      <c r="L46">
        <f t="shared" ca="1" si="2"/>
        <v>113788.70321995656</v>
      </c>
      <c r="M46">
        <f t="shared" ca="1" si="3"/>
        <v>4038.4137847417533</v>
      </c>
      <c r="N46">
        <f t="shared" ca="1" si="4"/>
        <v>264.22413865604295</v>
      </c>
      <c r="O46" s="4">
        <f t="shared" ca="1" si="5"/>
        <v>-4.9408126681876278E-3</v>
      </c>
      <c r="P46" s="4">
        <f t="shared" ca="1" si="6"/>
        <v>-1.1157768937338573E-2</v>
      </c>
      <c r="Q46" s="4">
        <f t="shared" ca="1" si="7"/>
        <v>-2.8496679822852311E-2</v>
      </c>
      <c r="R46" s="4" cm="1">
        <f t="array" aca="1" ref="R46" ca="1">_xlfn._xlws.SORT(SUMPRODUCT($U$2:$W$2,O46:Q46))</f>
        <v>-1.449435532224741E-2</v>
      </c>
      <c r="S46" s="4">
        <f ca="1"/>
        <v>-1.6380472020439161E-2</v>
      </c>
    </row>
    <row r="47" spans="1:19" x14ac:dyDescent="0.25">
      <c r="A47" s="4">
        <f>IFERROR(Merged_data[[#This Row],[BTCUSD_Close]]/Merged_data!D46-1,"")</f>
        <v>-1.9985185185185217E-2</v>
      </c>
      <c r="B47" s="4">
        <f>IFERROR(Merged_data[[#This Row],[XAUUSD_Close]]/Merged_data!C46-1, "")</f>
        <v>-3.6665258425074843E-3</v>
      </c>
      <c r="C47" s="4">
        <f>IFERROR(Merged_data[[#This Row],[AAPL_Close]]/Merged_data!B46-1,"")</f>
        <v>-1.3262360512163673E-2</v>
      </c>
      <c r="D47" s="4">
        <f t="shared" si="0"/>
        <v>-1.1440874046207659E-2</v>
      </c>
      <c r="E47">
        <f t="shared" ca="1" si="1"/>
        <v>-0.52568811580181374</v>
      </c>
      <c r="F47">
        <f t="shared" ca="1" si="1"/>
        <v>-0.64852945358310599</v>
      </c>
      <c r="G47">
        <f t="shared" ca="1" si="1"/>
        <v>-1.2088469546522518</v>
      </c>
      <c r="H47">
        <f ca="1"/>
        <v>-0.52568811580181374</v>
      </c>
      <c r="I47">
        <f ca="1"/>
        <v>-0.67523542478544762</v>
      </c>
      <c r="J47">
        <f ca="1"/>
        <v>-1.3037252351913793</v>
      </c>
      <c r="K47">
        <v>45</v>
      </c>
      <c r="L47">
        <f t="shared" ca="1" si="2"/>
        <v>108446.15321055337</v>
      </c>
      <c r="M47">
        <f t="shared" ca="1" si="3"/>
        <v>4086.9877883302051</v>
      </c>
      <c r="N47">
        <f t="shared" ca="1" si="4"/>
        <v>254.36279521994143</v>
      </c>
      <c r="O47" s="4">
        <f t="shared" ca="1" si="5"/>
        <v>-4.8089482030075285E-2</v>
      </c>
      <c r="P47" s="4">
        <f t="shared" ca="1" si="6"/>
        <v>1.1956229312189332E-2</v>
      </c>
      <c r="Q47" s="4">
        <f t="shared" ca="1" si="7"/>
        <v>-3.8036177435445788E-2</v>
      </c>
      <c r="R47" s="4" cm="1">
        <f t="array" aca="1" ref="R47" ca="1">_xlfn._xlws.SORT(SUMPRODUCT($U$2:$W$2,O47:Q47))</f>
        <v>-2.1055206114780588E-2</v>
      </c>
      <c r="S47" s="4">
        <f ca="1"/>
        <v>-1.6249058395834941E-2</v>
      </c>
    </row>
    <row r="48" spans="1:19" x14ac:dyDescent="0.25">
      <c r="A48" s="4">
        <f>IFERROR(Merged_data[[#This Row],[BTCUSD_Close]]/Merged_data!D47-1,"")</f>
        <v>7.6048952936680347E-3</v>
      </c>
      <c r="B48" s="4">
        <f>IFERROR(Merged_data[[#This Row],[XAUUSD_Close]]/Merged_data!C47-1, "")</f>
        <v>7.1451458480831231E-3</v>
      </c>
      <c r="C48" s="4">
        <f>IFERROR(Merged_data[[#This Row],[AAPL_Close]]/Merged_data!B47-1,"")</f>
        <v>-7.0577120786906589E-3</v>
      </c>
      <c r="D48" s="4">
        <f t="shared" si="0"/>
        <v>3.0222133037264621E-3</v>
      </c>
      <c r="E48">
        <f t="shared" ca="1" si="1"/>
        <v>2.0312438765022689</v>
      </c>
      <c r="F48">
        <f t="shared" ca="1" si="1"/>
        <v>1.5187655468819048</v>
      </c>
      <c r="G48">
        <f t="shared" ca="1" si="1"/>
        <v>0.15200817946921891</v>
      </c>
      <c r="H48">
        <f ca="1"/>
        <v>2.0312438765022689</v>
      </c>
      <c r="I48">
        <f ca="1"/>
        <v>1.6233181710324955</v>
      </c>
      <c r="J48">
        <f ca="1"/>
        <v>0.6906554492275262</v>
      </c>
      <c r="K48">
        <v>46</v>
      </c>
      <c r="L48">
        <f t="shared" ca="1" si="2"/>
        <v>116229.79417777628</v>
      </c>
      <c r="M48">
        <f t="shared" ca="1" si="3"/>
        <v>4203.1988438266371</v>
      </c>
      <c r="N48">
        <f t="shared" ca="1" si="4"/>
        <v>265.0355716214965</v>
      </c>
      <c r="O48" s="4">
        <f t="shared" ca="1" si="5"/>
        <v>6.9315449818378311E-2</v>
      </c>
      <c r="P48" s="4">
        <f t="shared" ca="1" si="6"/>
        <v>2.8037648231600883E-2</v>
      </c>
      <c r="Q48" s="4">
        <f t="shared" ca="1" si="7"/>
        <v>4.1102473945329066E-2</v>
      </c>
      <c r="R48" s="4" cm="1">
        <f t="array" aca="1" ref="R48" ca="1">_xlfn._xlws.SORT(SUMPRODUCT($U$2:$W$2,O48:Q48))</f>
        <v>4.4340436421752567E-2</v>
      </c>
      <c r="S48" s="4">
        <f ca="1"/>
        <v>-1.5978257189583032E-2</v>
      </c>
    </row>
    <row r="49" spans="1:19" x14ac:dyDescent="0.25">
      <c r="A49" s="4">
        <f>IFERROR(Merged_data[[#This Row],[BTCUSD_Close]]/Merged_data!D48-1,"")</f>
        <v>3.7477080491278514E-2</v>
      </c>
      <c r="B49" s="4">
        <f>IFERROR(Merged_data[[#This Row],[XAUUSD_Close]]/Merged_data!C48-1, "")</f>
        <v>1.2735346731006958E-2</v>
      </c>
      <c r="C49" s="4">
        <f>IFERROR(Merged_data[[#This Row],[AAPL_Close]]/Merged_data!B48-1,"")</f>
        <v>-2.6236782666053782E-2</v>
      </c>
      <c r="D49" s="4">
        <f t="shared" si="0"/>
        <v>8.4662280399702017E-3</v>
      </c>
      <c r="E49">
        <f t="shared" ca="1" si="1"/>
        <v>-1.6270728783329644</v>
      </c>
      <c r="F49">
        <f t="shared" ca="1" si="1"/>
        <v>-0.79957607822198296</v>
      </c>
      <c r="G49">
        <f t="shared" ca="1" si="1"/>
        <v>-3.4192017642189175E-2</v>
      </c>
      <c r="H49">
        <f ca="1"/>
        <v>-1.6270728783329644</v>
      </c>
      <c r="I49">
        <f ca="1"/>
        <v>-0.88390026264082289</v>
      </c>
      <c r="J49">
        <f ca="1"/>
        <v>-0.47038232634717442</v>
      </c>
      <c r="K49">
        <v>47</v>
      </c>
      <c r="L49">
        <f t="shared" ca="1" si="2"/>
        <v>105255.73075489016</v>
      </c>
      <c r="M49">
        <f t="shared" ca="1" si="3"/>
        <v>4076.5959252516222</v>
      </c>
      <c r="N49">
        <f t="shared" ca="1" si="4"/>
        <v>258.76872474640686</v>
      </c>
      <c r="O49" s="4">
        <f t="shared" ca="1" si="5"/>
        <v>-9.9176295777861509E-2</v>
      </c>
      <c r="P49" s="4">
        <f t="shared" ca="1" si="6"/>
        <v>-3.0583556758104598E-2</v>
      </c>
      <c r="Q49" s="4">
        <f t="shared" ca="1" si="7"/>
        <v>-2.3929341380828598E-2</v>
      </c>
      <c r="R49" s="4" cm="1">
        <f t="array" aca="1" ref="R49" ca="1">_xlfn._xlws.SORT(SUMPRODUCT($U$2:$W$2,O49:Q49))</f>
        <v>-4.9165113850848874E-2</v>
      </c>
      <c r="S49" s="4">
        <f ca="1"/>
        <v>-1.5430035832795974E-2</v>
      </c>
    </row>
    <row r="50" spans="1:19" x14ac:dyDescent="0.25">
      <c r="A50" s="4">
        <f>IFERROR(Merged_data[[#This Row],[BTCUSD_Close]]/Merged_data!D49-1,"")</f>
        <v>1.5393609735892655E-2</v>
      </c>
      <c r="B50" s="4">
        <f>IFERROR(Merged_data[[#This Row],[XAUUSD_Close]]/Merged_data!C49-1, "")</f>
        <v>-7.4303708413436809E-3</v>
      </c>
      <c r="C50" s="4">
        <f>IFERROR(Merged_data[[#This Row],[AAPL_Close]]/Merged_data!B49-1,"")</f>
        <v>-2.0075375027711617E-3</v>
      </c>
      <c r="D50" s="4">
        <f t="shared" si="0"/>
        <v>1.0436733333989753E-3</v>
      </c>
      <c r="E50">
        <f t="shared" ca="1" si="1"/>
        <v>1.4280408751072911</v>
      </c>
      <c r="F50">
        <f t="shared" ca="1" si="1"/>
        <v>-0.89247223912550999</v>
      </c>
      <c r="G50">
        <f t="shared" ca="1" si="1"/>
        <v>-0.33479966787579712</v>
      </c>
      <c r="H50">
        <f ca="1"/>
        <v>1.4280408751072911</v>
      </c>
      <c r="I50">
        <f ca="1"/>
        <v>-0.816264156119057</v>
      </c>
      <c r="J50">
        <f ca="1"/>
        <v>6.720455202888681E-2</v>
      </c>
      <c r="K50">
        <v>48</v>
      </c>
      <c r="L50">
        <f t="shared" ca="1" si="2"/>
        <v>114344.26715524576</v>
      </c>
      <c r="M50">
        <f t="shared" ca="1" si="3"/>
        <v>4079.959411338441</v>
      </c>
      <c r="N50">
        <f t="shared" ca="1" si="4"/>
        <v>261.65145383629562</v>
      </c>
      <c r="O50" s="4">
        <f t="shared" ca="1" si="5"/>
        <v>8.2820864963134774E-2</v>
      </c>
      <c r="P50" s="4">
        <f t="shared" ca="1" si="6"/>
        <v>8.2473204402323786E-4</v>
      </c>
      <c r="Q50" s="4">
        <f t="shared" ca="1" si="7"/>
        <v>1.107858108800594E-2</v>
      </c>
      <c r="R50" s="4" cm="1">
        <f t="array" aca="1" ref="R50" ca="1">_xlfn._xlws.SORT(SUMPRODUCT($U$2:$W$2,O50:Q50))</f>
        <v>2.849972663295151E-2</v>
      </c>
      <c r="S50" s="4">
        <f ca="1"/>
        <v>-1.5061197104821867E-2</v>
      </c>
    </row>
    <row r="51" spans="1:19" x14ac:dyDescent="0.25">
      <c r="A51" s="4">
        <f>IFERROR(Merged_data[[#This Row],[BTCUSD_Close]]/Merged_data!D50-1,"")</f>
        <v>3.8023177271950592E-2</v>
      </c>
      <c r="B51" s="4">
        <f>IFERROR(Merged_data[[#This Row],[XAUUSD_Close]]/Merged_data!C50-1, "")</f>
        <v>-8.244069955198885E-4</v>
      </c>
      <c r="C51" s="4">
        <f>IFERROR(Merged_data[[#This Row],[AAPL_Close]]/Merged_data!B50-1,"")</f>
        <v>6.73816193802379E-3</v>
      </c>
      <c r="D51" s="4">
        <f t="shared" si="0"/>
        <v>1.3098638964784358E-2</v>
      </c>
      <c r="E51">
        <f t="shared" ca="1" si="1"/>
        <v>1.3364777084069932</v>
      </c>
      <c r="F51">
        <f t="shared" ca="1" si="1"/>
        <v>0.12127332105118847</v>
      </c>
      <c r="G51">
        <f t="shared" ca="1" si="1"/>
        <v>-1.211095812824021</v>
      </c>
      <c r="H51">
        <f ca="1"/>
        <v>1.3364777084069932</v>
      </c>
      <c r="I51">
        <f ca="1"/>
        <v>0.1912757999055443</v>
      </c>
      <c r="J51">
        <f ca="1"/>
        <v>-0.80470872964984941</v>
      </c>
      <c r="K51">
        <v>49</v>
      </c>
      <c r="L51">
        <f t="shared" ca="1" si="2"/>
        <v>114060.62275119324</v>
      </c>
      <c r="M51">
        <f t="shared" ca="1" si="3"/>
        <v>4130.4105018777918</v>
      </c>
      <c r="N51">
        <f t="shared" ca="1" si="4"/>
        <v>256.9914148598491</v>
      </c>
      <c r="O51" s="4">
        <f t="shared" ca="1" si="5"/>
        <v>-2.4836994512679143E-3</v>
      </c>
      <c r="P51" s="4">
        <f t="shared" ca="1" si="6"/>
        <v>1.2289756996143562E-2</v>
      </c>
      <c r="Q51" s="4">
        <f t="shared" ca="1" si="7"/>
        <v>-1.7970610096309843E-2</v>
      </c>
      <c r="R51" s="4" cm="1">
        <f t="array" aca="1" ref="R51" ca="1">_xlfn._xlws.SORT(SUMPRODUCT($U$2:$W$2,O51:Q51))</f>
        <v>-1.2203900658159022E-3</v>
      </c>
      <c r="S51" s="4">
        <f ca="1"/>
        <v>-1.4617643401343076E-2</v>
      </c>
    </row>
    <row r="52" spans="1:19" x14ac:dyDescent="0.25">
      <c r="A52" s="4">
        <f>IFERROR(Merged_data[[#This Row],[BTCUSD_Close]]/Merged_data!D51-1,"")</f>
        <v>-4.813947334894797E-2</v>
      </c>
      <c r="B52" s="4">
        <f>IFERROR(Merged_data[[#This Row],[XAUUSD_Close]]/Merged_data!C51-1, "")</f>
        <v>4.7987830437941081E-3</v>
      </c>
      <c r="C52" s="4">
        <f>IFERROR(Merged_data[[#This Row],[AAPL_Close]]/Merged_data!B51-1,"")</f>
        <v>-1.1388013778393491E-2</v>
      </c>
      <c r="D52" s="4">
        <f t="shared" si="0"/>
        <v>-1.5938732920684793E-2</v>
      </c>
      <c r="E52">
        <f t="shared" ca="1" si="1"/>
        <v>0.25817377671329012</v>
      </c>
      <c r="F52">
        <f t="shared" ca="1" si="1"/>
        <v>-0.23567922668836144</v>
      </c>
      <c r="G52">
        <f t="shared" ca="1" si="1"/>
        <v>-0.62661540864825116</v>
      </c>
      <c r="H52">
        <f ca="1"/>
        <v>0.25817377671329012</v>
      </c>
      <c r="I52">
        <f ca="1"/>
        <v>-0.22179913914084315</v>
      </c>
      <c r="J52">
        <f ca="1"/>
        <v>-0.53255812589480245</v>
      </c>
      <c r="K52">
        <v>50</v>
      </c>
      <c r="L52">
        <f t="shared" ca="1" si="2"/>
        <v>110774.4800283799</v>
      </c>
      <c r="M52">
        <f t="shared" ca="1" si="3"/>
        <v>4109.6496274682377</v>
      </c>
      <c r="N52">
        <f t="shared" ca="1" si="4"/>
        <v>258.43668532982741</v>
      </c>
      <c r="O52" s="4">
        <f t="shared" ca="1" si="5"/>
        <v>-2.9233662438868723E-2</v>
      </c>
      <c r="P52" s="4">
        <f t="shared" ca="1" si="6"/>
        <v>-5.0390210782921422E-3</v>
      </c>
      <c r="Q52" s="4">
        <f t="shared" ca="1" si="7"/>
        <v>5.6080537995102497E-3</v>
      </c>
      <c r="R52" s="4" cm="1">
        <f t="array" aca="1" ref="R52" ca="1">_xlfn._xlws.SORT(SUMPRODUCT($U$2:$W$2,O52:Q52))</f>
        <v>-9.1032910231243994E-3</v>
      </c>
      <c r="S52" s="4">
        <f ca="1"/>
        <v>-1.449435532224741E-2</v>
      </c>
    </row>
    <row r="53" spans="1:19" x14ac:dyDescent="0.25">
      <c r="A53" s="4">
        <f>IFERROR(Merged_data[[#This Row],[BTCUSD_Close]]/Merged_data!D52-1,"")</f>
        <v>-1.9223958290434884E-2</v>
      </c>
      <c r="B53" s="4">
        <f>IFERROR(Merged_data[[#This Row],[XAUUSD_Close]]/Merged_data!C52-1, "")</f>
        <v>5.0458048842181302E-3</v>
      </c>
      <c r="C53" s="4">
        <f>IFERROR(Merged_data[[#This Row],[AAPL_Close]]/Merged_data!B52-1,"")</f>
        <v>2.0211288562643759E-3</v>
      </c>
      <c r="D53" s="4">
        <f t="shared" si="0"/>
        <v>-3.1425268765639005E-3</v>
      </c>
      <c r="E53">
        <f t="shared" ca="1" si="1"/>
        <v>1.8788540699822494</v>
      </c>
      <c r="F53">
        <f t="shared" ca="1" si="1"/>
        <v>-0.70640840162749086</v>
      </c>
      <c r="G53">
        <f t="shared" ca="1" si="1"/>
        <v>0.86716602922410491</v>
      </c>
      <c r="H53">
        <f ca="1"/>
        <v>1.8788540699822494</v>
      </c>
      <c r="I53">
        <f ca="1"/>
        <v>-0.60678768211291989</v>
      </c>
      <c r="J53">
        <f ca="1"/>
        <v>1.3456585053122929</v>
      </c>
      <c r="K53">
        <v>51</v>
      </c>
      <c r="L53">
        <f t="shared" ca="1" si="2"/>
        <v>115749.76224275367</v>
      </c>
      <c r="M53">
        <f t="shared" ca="1" si="3"/>
        <v>4090.3942341973197</v>
      </c>
      <c r="N53">
        <f t="shared" ca="1" si="4"/>
        <v>268.63648686643336</v>
      </c>
      <c r="O53" s="4">
        <f t="shared" ca="1" si="5"/>
        <v>4.3934215775174479E-2</v>
      </c>
      <c r="P53" s="4">
        <f t="shared" ca="1" si="6"/>
        <v>-4.6964208942656318E-3</v>
      </c>
      <c r="Q53" s="4">
        <f t="shared" ca="1" si="7"/>
        <v>3.8708382844009945E-2</v>
      </c>
      <c r="R53" s="4" cm="1">
        <f t="array" aca="1" ref="R53" ca="1">_xlfn._xlws.SORT(SUMPRODUCT($U$2:$W$2,O53:Q53))</f>
        <v>2.2914211228049076E-2</v>
      </c>
      <c r="S53" s="4">
        <f ca="1"/>
        <v>-1.416377151845539E-2</v>
      </c>
    </row>
    <row r="54" spans="1:19" x14ac:dyDescent="0.25">
      <c r="A54" s="4">
        <f>IFERROR(Merged_data[[#This Row],[BTCUSD_Close]]/Merged_data!D53-1,"")</f>
        <v>-6.7739781821846146E-3</v>
      </c>
      <c r="B54" s="4">
        <f>IFERROR(Merged_data[[#This Row],[XAUUSD_Close]]/Merged_data!C53-1, "")</f>
        <v>1.0713346606062935E-2</v>
      </c>
      <c r="C54" s="4">
        <f>IFERROR(Merged_data[[#This Row],[AAPL_Close]]/Merged_data!B53-1,"")</f>
        <v>-2.4101504333155943E-2</v>
      </c>
      <c r="D54" s="4">
        <f t="shared" si="0"/>
        <v>-4.9773061121769924E-3</v>
      </c>
      <c r="E54">
        <f t="shared" ca="1" si="1"/>
        <v>-1.2054724027749077</v>
      </c>
      <c r="F54">
        <f t="shared" ca="1" si="1"/>
        <v>-0.35433919354738896</v>
      </c>
      <c r="G54">
        <f t="shared" ca="1" si="1"/>
        <v>1.0298959304898627</v>
      </c>
      <c r="H54">
        <f ca="1"/>
        <v>-1.2054724027749077</v>
      </c>
      <c r="I54">
        <f ca="1"/>
        <v>-0.41714197811026626</v>
      </c>
      <c r="J54">
        <f ca="1"/>
        <v>0.66652963709169177</v>
      </c>
      <c r="K54">
        <v>52</v>
      </c>
      <c r="L54">
        <f t="shared" ca="1" si="2"/>
        <v>106464.84989964253</v>
      </c>
      <c r="M54">
        <f t="shared" ca="1" si="3"/>
        <v>4099.8663286137462</v>
      </c>
      <c r="N54">
        <f t="shared" ca="1" si="4"/>
        <v>264.90246705568603</v>
      </c>
      <c r="O54" s="4">
        <f t="shared" ca="1" si="5"/>
        <v>-8.361575612494318E-2</v>
      </c>
      <c r="P54" s="4">
        <f t="shared" ca="1" si="6"/>
        <v>2.3130152128350264E-3</v>
      </c>
      <c r="Q54" s="4">
        <f t="shared" ca="1" si="7"/>
        <v>-1.3997406373024142E-2</v>
      </c>
      <c r="R54" s="4" cm="1">
        <f t="array" aca="1" ref="R54" ca="1">_xlfn._xlws.SORT(SUMPRODUCT($U$2:$W$2,O54:Q54))</f>
        <v>-2.8358742664256184E-2</v>
      </c>
      <c r="S54" s="4">
        <f ca="1"/>
        <v>-1.3823830871187914E-2</v>
      </c>
    </row>
    <row r="55" spans="1:19" x14ac:dyDescent="0.25">
      <c r="A55" s="4">
        <f>IFERROR(Merged_data[[#This Row],[BTCUSD_Close]]/Merged_data!D54-1,"")</f>
        <v>-2.6993234780899877E-3</v>
      </c>
      <c r="B55" s="4">
        <f>IFERROR(Merged_data[[#This Row],[XAUUSD_Close]]/Merged_data!C54-1, "")</f>
        <v>-1.0248567244724227E-2</v>
      </c>
      <c r="C55" s="4">
        <f>IFERROR(Merged_data[[#This Row],[AAPL_Close]]/Merged_data!B54-1,"")</f>
        <v>-1.0342787100046547E-2</v>
      </c>
      <c r="D55" s="4">
        <f t="shared" si="0"/>
        <v>-8.0120600713306511E-3</v>
      </c>
      <c r="E55">
        <f t="shared" ca="1" si="1"/>
        <v>0.53144179701734762</v>
      </c>
      <c r="F55">
        <f t="shared" ca="1" si="1"/>
        <v>0.33927423317296729</v>
      </c>
      <c r="G55">
        <f t="shared" ca="1" si="1"/>
        <v>-1.1091304131070183</v>
      </c>
      <c r="H55">
        <f ca="1"/>
        <v>0.53144179701734762</v>
      </c>
      <c r="I55">
        <f ca="1"/>
        <v>0.36670883592893577</v>
      </c>
      <c r="J55">
        <f ca="1"/>
        <v>-0.9251351589323189</v>
      </c>
      <c r="K55">
        <v>53</v>
      </c>
      <c r="L55">
        <f t="shared" ca="1" si="2"/>
        <v>111597.66553022071</v>
      </c>
      <c r="M55">
        <f t="shared" ca="1" si="3"/>
        <v>4139.2538773345923</v>
      </c>
      <c r="N55">
        <f t="shared" ca="1" si="4"/>
        <v>256.35349468321778</v>
      </c>
      <c r="O55" s="4">
        <f t="shared" ca="1" si="5"/>
        <v>4.7085248759428551E-2</v>
      </c>
      <c r="P55" s="4">
        <f t="shared" ca="1" si="6"/>
        <v>9.5611783274454232E-3</v>
      </c>
      <c r="Q55" s="4">
        <f t="shared" ca="1" si="7"/>
        <v>-3.2804378788186768E-2</v>
      </c>
      <c r="R55" s="4" cm="1">
        <f t="array" aca="1" ref="R55" ca="1">_xlfn._xlws.SORT(SUMPRODUCT($U$2:$W$2,O55:Q55))</f>
        <v>8.1087323223507039E-3</v>
      </c>
      <c r="S55" s="4">
        <f ca="1"/>
        <v>-1.3823291609982157E-2</v>
      </c>
    </row>
    <row r="56" spans="1:19" x14ac:dyDescent="0.25">
      <c r="A56" s="4">
        <f>IFERROR(Merged_data[[#This Row],[BTCUSD_Close]]/Merged_data!D55-1,"")</f>
        <v>2.4665936844604053E-2</v>
      </c>
      <c r="B56" s="4">
        <f>IFERROR(Merged_data[[#This Row],[XAUUSD_Close]]/Merged_data!C55-1, "")</f>
        <v>5.3754254997568918E-3</v>
      </c>
      <c r="C56" s="4">
        <f>IFERROR(Merged_data[[#This Row],[AAPL_Close]]/Merged_data!B55-1,"")</f>
        <v>-4.7791307021777252E-3</v>
      </c>
      <c r="D56" s="4">
        <f t="shared" si="0"/>
        <v>8.1162120426306553E-3</v>
      </c>
      <c r="E56">
        <f t="shared" ca="1" si="1"/>
        <v>0.37081035833641818</v>
      </c>
      <c r="F56">
        <f t="shared" ca="1" si="1"/>
        <v>0.74995981739943529</v>
      </c>
      <c r="G56">
        <f t="shared" ca="1" si="1"/>
        <v>-0.43829475042054883</v>
      </c>
      <c r="H56">
        <f ca="1"/>
        <v>0.37081035833641818</v>
      </c>
      <c r="I56">
        <f ca="1"/>
        <v>0.76839426675978795</v>
      </c>
      <c r="J56">
        <f ca="1"/>
        <v>-0.3242238865410807</v>
      </c>
      <c r="K56">
        <v>54</v>
      </c>
      <c r="L56">
        <f t="shared" ca="1" si="2"/>
        <v>111112.59224635507</v>
      </c>
      <c r="M56">
        <f t="shared" ca="1" si="3"/>
        <v>4159.5838868904102</v>
      </c>
      <c r="N56">
        <f t="shared" ca="1" si="4"/>
        <v>259.54782962722726</v>
      </c>
      <c r="O56" s="4">
        <f t="shared" ca="1" si="5"/>
        <v>-4.3560997661690436E-3</v>
      </c>
      <c r="P56" s="4">
        <f t="shared" ca="1" si="6"/>
        <v>4.8994933512233919E-3</v>
      </c>
      <c r="Q56" s="4">
        <f t="shared" ca="1" si="7"/>
        <v>1.2383669572923759E-2</v>
      </c>
      <c r="R56" s="4" cm="1">
        <f t="array" aca="1" ref="R56" ca="1">_xlfn._xlws.SORT(SUMPRODUCT($U$2:$W$2,O56:Q56))</f>
        <v>4.3680682825157713E-3</v>
      </c>
      <c r="S56" s="4">
        <f ca="1"/>
        <v>-1.2926273943183462E-2</v>
      </c>
    </row>
    <row r="57" spans="1:19" x14ac:dyDescent="0.25">
      <c r="A57" s="4">
        <f>IFERROR(Merged_data[[#This Row],[BTCUSD_Close]]/Merged_data!D56-1,"")</f>
        <v>3.1238493966184278E-2</v>
      </c>
      <c r="B57" s="4">
        <f>IFERROR(Merged_data[[#This Row],[XAUUSD_Close]]/Merged_data!C56-1, "")</f>
        <v>7.1581707353511881E-3</v>
      </c>
      <c r="C57" s="4">
        <f>IFERROR(Merged_data[[#This Row],[AAPL_Close]]/Merged_data!B56-1,"")</f>
        <v>1.9676084866794952E-2</v>
      </c>
      <c r="D57" s="4">
        <f t="shared" si="0"/>
        <v>1.8137641944034243E-2</v>
      </c>
      <c r="E57">
        <f t="shared" ca="1" si="1"/>
        <v>2.7813762162013789</v>
      </c>
      <c r="F57">
        <f t="shared" ca="1" si="1"/>
        <v>-0.80631240302803664</v>
      </c>
      <c r="G57">
        <f t="shared" ca="1" si="1"/>
        <v>0.45318393272275165</v>
      </c>
      <c r="H57">
        <f ca="1"/>
        <v>2.7813762162013789</v>
      </c>
      <c r="I57">
        <f ca="1"/>
        <v>-0.65916832598221287</v>
      </c>
      <c r="J57">
        <f ca="1"/>
        <v>1.1916752977674037</v>
      </c>
      <c r="K57">
        <v>55</v>
      </c>
      <c r="L57">
        <f t="shared" ca="1" si="2"/>
        <v>118616.0233530595</v>
      </c>
      <c r="M57">
        <f t="shared" ca="1" si="3"/>
        <v>4087.7766530364606</v>
      </c>
      <c r="N57">
        <f t="shared" ca="1" si="4"/>
        <v>267.7843992955319</v>
      </c>
      <c r="O57" s="4">
        <f t="shared" ca="1" si="5"/>
        <v>6.5347549820944928E-2</v>
      </c>
      <c r="P57" s="4">
        <f t="shared" ca="1" si="6"/>
        <v>-1.7413825447260962E-2</v>
      </c>
      <c r="Q57" s="4">
        <f t="shared" ca="1" si="7"/>
        <v>3.1241176324528969E-2</v>
      </c>
      <c r="R57" s="4" cm="1">
        <f t="array" aca="1" ref="R57" ca="1">_xlfn._xlws.SORT(SUMPRODUCT($U$2:$W$2,O57:Q57))</f>
        <v>2.2011087664737784E-2</v>
      </c>
      <c r="S57" s="4">
        <f ca="1"/>
        <v>-1.2712688560897035E-2</v>
      </c>
    </row>
    <row r="58" spans="1:19" x14ac:dyDescent="0.25">
      <c r="A58" s="4">
        <f>IFERROR(Merged_data[[#This Row],[BTCUSD_Close]]/Merged_data!D57-1,"")</f>
        <v>1.1182563625276032E-3</v>
      </c>
      <c r="B58" s="4">
        <f>IFERROR(Merged_data[[#This Row],[XAUUSD_Close]]/Merged_data!C57-1, "")</f>
        <v>6.7345935973150972E-3</v>
      </c>
      <c r="C58" s="4">
        <f>IFERROR(Merged_data[[#This Row],[AAPL_Close]]/Merged_data!B57-1,"")</f>
        <v>-4.04025100059342E-2</v>
      </c>
      <c r="D58" s="4">
        <f t="shared" si="0"/>
        <v>-9.0914386540959409E-3</v>
      </c>
      <c r="E58">
        <f t="shared" ca="1" si="1"/>
        <v>0.98891121172005036</v>
      </c>
      <c r="F58">
        <f t="shared" ca="1" si="1"/>
        <v>-0.32539547188391488</v>
      </c>
      <c r="G58">
        <f t="shared" ca="1" si="1"/>
        <v>-0.44461323040584694</v>
      </c>
      <c r="H58">
        <f ca="1"/>
        <v>0.98891121172005036</v>
      </c>
      <c r="I58">
        <f ca="1"/>
        <v>-0.27302537551929279</v>
      </c>
      <c r="J58">
        <f ca="1"/>
        <v>-0.1593098446342221</v>
      </c>
      <c r="K58">
        <v>56</v>
      </c>
      <c r="L58">
        <f t="shared" ca="1" si="2"/>
        <v>112989.7867222082</v>
      </c>
      <c r="M58">
        <f t="shared" ca="1" si="3"/>
        <v>4107.0751035388121</v>
      </c>
      <c r="N58">
        <f t="shared" ca="1" si="4"/>
        <v>260.43103928328935</v>
      </c>
      <c r="O58" s="4">
        <f t="shared" ca="1" si="5"/>
        <v>-4.8594149956967592E-2</v>
      </c>
      <c r="P58" s="4">
        <f t="shared" ca="1" si="6"/>
        <v>4.7099048892436848E-3</v>
      </c>
      <c r="Q58" s="4">
        <f t="shared" ca="1" si="7"/>
        <v>-2.7844074795046591E-2</v>
      </c>
      <c r="R58" s="4" cm="1">
        <f t="array" aca="1" ref="R58" ca="1">_xlfn._xlws.SORT(SUMPRODUCT($U$2:$W$2,O58:Q58))</f>
        <v>-2.1047505469906781E-2</v>
      </c>
      <c r="S58" s="4">
        <f ca="1"/>
        <v>-1.2661882878375424E-2</v>
      </c>
    </row>
    <row r="59" spans="1:19" x14ac:dyDescent="0.25">
      <c r="A59" s="4">
        <f>IFERROR(Merged_data[[#This Row],[BTCUSD_Close]]/Merged_data!D58-1,"")</f>
        <v>4.936571018119551E-2</v>
      </c>
      <c r="B59" s="4">
        <f>IFERROR(Merged_data[[#This Row],[XAUUSD_Close]]/Merged_data!C58-1, "")</f>
        <v>-5.0908300594728617E-3</v>
      </c>
      <c r="C59" s="4">
        <f>IFERROR(Merged_data[[#This Row],[AAPL_Close]]/Merged_data!B58-1,"")</f>
        <v>7.5347902933657895E-3</v>
      </c>
      <c r="D59" s="4">
        <f t="shared" si="0"/>
        <v>1.5033818118579245E-2</v>
      </c>
      <c r="E59">
        <f t="shared" ca="1" si="1"/>
        <v>0.49604871018327834</v>
      </c>
      <c r="F59">
        <f t="shared" ca="1" si="1"/>
        <v>0.90801871052474237</v>
      </c>
      <c r="G59">
        <f t="shared" ca="1" si="1"/>
        <v>-1.0407924039061045</v>
      </c>
      <c r="H59">
        <f ca="1"/>
        <v>0.49604871018327834</v>
      </c>
      <c r="I59">
        <f ca="1"/>
        <v>0.93281060641892233</v>
      </c>
      <c r="J59">
        <f ca="1"/>
        <v>-0.87090709784646492</v>
      </c>
      <c r="K59">
        <v>57</v>
      </c>
      <c r="L59">
        <f t="shared" ca="1" si="2"/>
        <v>111489.98238192427</v>
      </c>
      <c r="M59">
        <f t="shared" ca="1" si="3"/>
        <v>4167.9308342995937</v>
      </c>
      <c r="N59">
        <f t="shared" ca="1" si="4"/>
        <v>256.63928429020262</v>
      </c>
      <c r="O59" s="4">
        <f t="shared" ca="1" si="5"/>
        <v>-1.3362688882596787E-2</v>
      </c>
      <c r="P59" s="4">
        <f t="shared" ca="1" si="6"/>
        <v>1.4708588333208979E-2</v>
      </c>
      <c r="Q59" s="4">
        <f t="shared" ca="1" si="7"/>
        <v>-1.4666565802585086E-2</v>
      </c>
      <c r="R59" s="4" cm="1">
        <f t="array" aca="1" ref="R59" ca="1">_xlfn._xlws.SORT(SUMPRODUCT($U$2:$W$2,O59:Q59))</f>
        <v>-2.52534107227097E-3</v>
      </c>
      <c r="S59" s="4">
        <f ca="1"/>
        <v>-1.2457889720480852E-2</v>
      </c>
    </row>
    <row r="60" spans="1:19" x14ac:dyDescent="0.25">
      <c r="A60" s="4">
        <f>IFERROR(Merged_data[[#This Row],[BTCUSD_Close]]/Merged_data!D59-1,"")</f>
        <v>1.2076602894566024E-2</v>
      </c>
      <c r="B60" s="4">
        <f>IFERROR(Merged_data[[#This Row],[XAUUSD_Close]]/Merged_data!C59-1, "")</f>
        <v>1.627071327148899E-2</v>
      </c>
      <c r="C60" s="4">
        <f>IFERROR(Merged_data[[#This Row],[AAPL_Close]]/Merged_data!B59-1,"")</f>
        <v>-3.191614394476916E-2</v>
      </c>
      <c r="D60" s="4">
        <f t="shared" si="0"/>
        <v>5.5642299353465645E-4</v>
      </c>
      <c r="E60">
        <f t="shared" ca="1" si="1"/>
        <v>0.40568423139632653</v>
      </c>
      <c r="F60">
        <f t="shared" ca="1" si="1"/>
        <v>0.2784450558558737</v>
      </c>
      <c r="G60">
        <f t="shared" ca="1" si="1"/>
        <v>-0.79006317456159425</v>
      </c>
      <c r="H60">
        <f ca="1"/>
        <v>0.40568423139632653</v>
      </c>
      <c r="I60">
        <f ca="1"/>
        <v>0.29936084653299888</v>
      </c>
      <c r="J60">
        <f ca="1"/>
        <v>-0.65178744372856334</v>
      </c>
      <c r="K60">
        <v>58</v>
      </c>
      <c r="L60">
        <f t="shared" ca="1" si="2"/>
        <v>111217.0323864441</v>
      </c>
      <c r="M60">
        <f t="shared" ca="1" si="3"/>
        <v>4135.8486304063681</v>
      </c>
      <c r="N60">
        <f t="shared" ca="1" si="4"/>
        <v>257.8006584656676</v>
      </c>
      <c r="O60" s="4">
        <f t="shared" ca="1" si="5"/>
        <v>-2.4512037254874816E-3</v>
      </c>
      <c r="P60" s="4">
        <f t="shared" ca="1" si="6"/>
        <v>-7.7271713833271128E-3</v>
      </c>
      <c r="Q60" s="4">
        <f t="shared" ca="1" si="7"/>
        <v>4.5151087695250967E-3</v>
      </c>
      <c r="R60" s="4" cm="1">
        <f t="array" aca="1" ref="R60" ca="1">_xlfn._xlws.SORT(SUMPRODUCT($U$2:$W$2,O60:Q60))</f>
        <v>-2.4716970401195606E-3</v>
      </c>
      <c r="S60" s="4">
        <f ca="1"/>
        <v>-1.2328961728359686E-2</v>
      </c>
    </row>
    <row r="61" spans="1:19" x14ac:dyDescent="0.25">
      <c r="A61" s="4">
        <f>IFERROR(Merged_data[[#This Row],[BTCUSD_Close]]/Merged_data!D60-1,"")</f>
        <v>-2.0846499957552389E-2</v>
      </c>
      <c r="B61" s="4">
        <f>IFERROR(Merged_data[[#This Row],[XAUUSD_Close]]/Merged_data!C60-1, "")</f>
        <v>4.1879037164684885E-3</v>
      </c>
      <c r="C61" s="4">
        <f>IFERROR(Merged_data[[#This Row],[AAPL_Close]]/Merged_data!B60-1,"")</f>
        <v>5.3463432181477533E-3</v>
      </c>
      <c r="D61" s="4">
        <f t="shared" si="0"/>
        <v>-2.9748855352339943E-3</v>
      </c>
      <c r="E61">
        <f t="shared" ca="1" si="1"/>
        <v>-0.80210604893914872</v>
      </c>
      <c r="F61">
        <f t="shared" ca="1" si="1"/>
        <v>-1.5209239760344475</v>
      </c>
      <c r="G61">
        <f t="shared" ca="1" si="1"/>
        <v>1.2690329909904212</v>
      </c>
      <c r="H61">
        <f ca="1"/>
        <v>-0.80210604893914872</v>
      </c>
      <c r="I61">
        <f ca="1"/>
        <v>-1.560939595456988</v>
      </c>
      <c r="J61">
        <f ca="1"/>
        <v>1.0099566565236751</v>
      </c>
      <c r="K61">
        <v>59</v>
      </c>
      <c r="L61">
        <f t="shared" ca="1" si="2"/>
        <v>107634.32233573592</v>
      </c>
      <c r="M61">
        <f t="shared" ca="1" si="3"/>
        <v>4043.0531668646054</v>
      </c>
      <c r="N61">
        <f t="shared" ca="1" si="4"/>
        <v>266.78247391142401</v>
      </c>
      <c r="O61" s="4">
        <f t="shared" ca="1" si="5"/>
        <v>-3.2743961350650351E-2</v>
      </c>
      <c r="P61" s="4">
        <f t="shared" ca="1" si="6"/>
        <v>-2.2692397550119415E-2</v>
      </c>
      <c r="Q61" s="4">
        <f t="shared" ca="1" si="7"/>
        <v>3.4246977222306699E-2</v>
      </c>
      <c r="R61" s="4" cm="1">
        <f t="array" aca="1" ref="R61" ca="1">_xlfn._xlws.SORT(SUMPRODUCT($U$2:$W$2,O61:Q61))</f>
        <v>-8.6260542585508623E-3</v>
      </c>
      <c r="S61" s="4">
        <f ca="1"/>
        <v>-1.2076641543858612E-2</v>
      </c>
    </row>
    <row r="62" spans="1:19" x14ac:dyDescent="0.25">
      <c r="A62" s="4">
        <f>IFERROR(Merged_data[[#This Row],[BTCUSD_Close]]/Merged_data!D61-1,"")</f>
        <v>1.8592911572883342E-3</v>
      </c>
      <c r="B62" s="4">
        <f>IFERROR(Merged_data[[#This Row],[XAUUSD_Close]]/Merged_data!C61-1, "")</f>
        <v>-5.1518246347903585E-4</v>
      </c>
      <c r="C62" s="4">
        <f>IFERROR(Merged_data[[#This Row],[AAPL_Close]]/Merged_data!B61-1,"")</f>
        <v>-7.6034063260344009E-4</v>
      </c>
      <c r="D62" s="4">
        <f t="shared" si="0"/>
        <v>1.2361217201385389E-4</v>
      </c>
      <c r="E62">
        <f t="shared" ca="1" si="1"/>
        <v>0.81617331352653399</v>
      </c>
      <c r="F62">
        <f t="shared" ca="1" si="1"/>
        <v>0.4157527713533275</v>
      </c>
      <c r="G62">
        <f t="shared" ca="1" si="1"/>
        <v>0.11897153222330915</v>
      </c>
      <c r="H62">
        <f ca="1"/>
        <v>0.81617331352653399</v>
      </c>
      <c r="I62">
        <f ca="1"/>
        <v>0.45803128916518554</v>
      </c>
      <c r="J62">
        <f ca="1"/>
        <v>0.33392361422591882</v>
      </c>
      <c r="K62">
        <v>60</v>
      </c>
      <c r="L62">
        <f t="shared" ca="1" si="2"/>
        <v>112461.24862396653</v>
      </c>
      <c r="M62">
        <f t="shared" ca="1" si="3"/>
        <v>4143.8587381894631</v>
      </c>
      <c r="N62">
        <f t="shared" ca="1" si="4"/>
        <v>263.09101032024444</v>
      </c>
      <c r="O62" s="4">
        <f t="shared" ca="1" si="5"/>
        <v>4.3869127950284775E-2</v>
      </c>
      <c r="P62" s="4">
        <f t="shared" ca="1" si="6"/>
        <v>2.4627275179361249E-2</v>
      </c>
      <c r="Q62" s="4">
        <f t="shared" ca="1" si="7"/>
        <v>-1.3933602734220294E-2</v>
      </c>
      <c r="R62" s="4" cm="1">
        <f t="array" aca="1" ref="R62" ca="1">_xlfn._xlws.SORT(SUMPRODUCT($U$2:$W$2,O62:Q62))</f>
        <v>1.8831567636563844E-2</v>
      </c>
      <c r="S62" s="4">
        <f ca="1"/>
        <v>-1.2001865994188829E-2</v>
      </c>
    </row>
    <row r="63" spans="1:19" x14ac:dyDescent="0.25">
      <c r="A63" s="4">
        <f>IFERROR(Merged_data[[#This Row],[BTCUSD_Close]]/Merged_data!D62-1,"")</f>
        <v>9.8465325589445207E-3</v>
      </c>
      <c r="B63" s="4">
        <f>IFERROR(Merged_data[[#This Row],[XAUUSD_Close]]/Merged_data!C62-1, "")</f>
        <v>5.8877230809997183E-3</v>
      </c>
      <c r="C63" s="4">
        <f>IFERROR(Merged_data[[#This Row],[AAPL_Close]]/Merged_data!B62-1,"")</f>
        <v>-3.9343998137985059E-3</v>
      </c>
      <c r="D63" s="4">
        <f t="shared" si="0"/>
        <v>4.1287290559436918E-3</v>
      </c>
      <c r="E63">
        <f t="shared" ca="1" si="1"/>
        <v>0.63286169798666758</v>
      </c>
      <c r="F63">
        <f t="shared" ca="1" si="1"/>
        <v>-4.0825379316873113E-2</v>
      </c>
      <c r="G63">
        <f t="shared" ca="1" si="1"/>
        <v>-0.39669515566822861</v>
      </c>
      <c r="H63">
        <f ca="1"/>
        <v>0.63286169798666758</v>
      </c>
      <c r="I63">
        <f ca="1"/>
        <v>-7.5416216344638271E-3</v>
      </c>
      <c r="J63">
        <f ca="1"/>
        <v>-0.21051221853710159</v>
      </c>
      <c r="K63">
        <v>61</v>
      </c>
      <c r="L63">
        <f t="shared" ca="1" si="2"/>
        <v>111903.59700082509</v>
      </c>
      <c r="M63">
        <f t="shared" ca="1" si="3"/>
        <v>4120.3908296109657</v>
      </c>
      <c r="N63">
        <f t="shared" ca="1" si="4"/>
        <v>260.1552526109441</v>
      </c>
      <c r="O63" s="4">
        <f t="shared" ca="1" si="5"/>
        <v>-4.9709460490555803E-3</v>
      </c>
      <c r="P63" s="4">
        <f t="shared" ca="1" si="6"/>
        <v>-5.6793956829982112E-3</v>
      </c>
      <c r="Q63" s="4">
        <f t="shared" ca="1" si="7"/>
        <v>-1.1221440928613718E-2</v>
      </c>
      <c r="R63" s="4" cm="1">
        <f t="array" aca="1" ref="R63" ca="1">_xlfn._xlws.SORT(SUMPRODUCT($U$2:$W$2,O63:Q63))</f>
        <v>-7.1294743665000736E-3</v>
      </c>
      <c r="S63" s="4">
        <f ca="1"/>
        <v>-1.149748820483709E-2</v>
      </c>
    </row>
    <row r="64" spans="1:19" x14ac:dyDescent="0.25">
      <c r="A64" s="4">
        <f>IFERROR(Merged_data[[#This Row],[BTCUSD_Close]]/Merged_data!D63-1,"")</f>
        <v>-3.249857170062842E-2</v>
      </c>
      <c r="B64" s="4">
        <f>IFERROR(Merged_data[[#This Row],[XAUUSD_Close]]/Merged_data!C63-1, "")</f>
        <v>-1.0889157935191962E-2</v>
      </c>
      <c r="C64" s="4">
        <f>IFERROR(Merged_data[[#This Row],[AAPL_Close]]/Merged_data!B63-1,"")</f>
        <v>3.1783764351674959E-2</v>
      </c>
      <c r="D64" s="4">
        <f t="shared" si="0"/>
        <v>-4.5701053787628228E-3</v>
      </c>
      <c r="E64">
        <f t="shared" ca="1" si="1"/>
        <v>-1.938405053174447</v>
      </c>
      <c r="F64">
        <f t="shared" ca="1" si="1"/>
        <v>-1.5491298717106139</v>
      </c>
      <c r="G64">
        <f t="shared" ca="1" si="1"/>
        <v>0.36313481785106261</v>
      </c>
      <c r="H64">
        <f ca="1"/>
        <v>-1.938405053174447</v>
      </c>
      <c r="I64">
        <f ca="1"/>
        <v>-1.6487662531903038</v>
      </c>
      <c r="J64">
        <f ca="1"/>
        <v>-0.16950564190737288</v>
      </c>
      <c r="K64">
        <v>62</v>
      </c>
      <c r="L64">
        <f t="shared" ca="1" si="2"/>
        <v>104368.79699075001</v>
      </c>
      <c r="M64">
        <f t="shared" ca="1" si="3"/>
        <v>4038.7204751504446</v>
      </c>
      <c r="N64">
        <f t="shared" ca="1" si="4"/>
        <v>260.37498792220441</v>
      </c>
      <c r="O64" s="4">
        <f t="shared" ca="1" si="5"/>
        <v>-6.9707008204495602E-2</v>
      </c>
      <c r="P64" s="4">
        <f t="shared" ca="1" si="6"/>
        <v>-2.0020092681529003E-2</v>
      </c>
      <c r="Q64" s="4">
        <f t="shared" ca="1" si="7"/>
        <v>8.4427496119161242E-4</v>
      </c>
      <c r="R64" s="4" cm="1">
        <f t="array" aca="1" ref="R64" ca="1">_xlfn._xlws.SORT(SUMPRODUCT($U$2:$W$2,O64:Q64))</f>
        <v>-2.86668570456028E-2</v>
      </c>
      <c r="S64" s="4">
        <f ca="1"/>
        <v>-1.1333731161253944E-2</v>
      </c>
    </row>
    <row r="65" spans="1:19" x14ac:dyDescent="0.25">
      <c r="A65" s="4">
        <f>IFERROR(Merged_data[[#This Row],[BTCUSD_Close]]/Merged_data!D64-1,"")</f>
        <v>-4.0154713750036874E-3</v>
      </c>
      <c r="B65" s="4">
        <f>IFERROR(Merged_data[[#This Row],[XAUUSD_Close]]/Merged_data!C64-1, "")</f>
        <v>8.376718850900966E-3</v>
      </c>
      <c r="C65" s="4">
        <f>IFERROR(Merged_data[[#This Row],[AAPL_Close]]/Merged_data!B64-1,"")</f>
        <v>3.6540538657189536E-2</v>
      </c>
      <c r="D65" s="4">
        <f t="shared" si="0"/>
        <v>1.3108207725016141E-2</v>
      </c>
      <c r="E65">
        <f t="shared" ca="1" si="1"/>
        <v>1.3844355039301171</v>
      </c>
      <c r="F65">
        <f t="shared" ca="1" si="1"/>
        <v>1.6232347514380263</v>
      </c>
      <c r="G65">
        <f t="shared" ca="1" si="1"/>
        <v>-0.42057591577737236</v>
      </c>
      <c r="H65">
        <f ca="1"/>
        <v>1.3844355039301171</v>
      </c>
      <c r="I65">
        <f ca="1"/>
        <v>1.6936835874428406</v>
      </c>
      <c r="J65">
        <f ca="1"/>
        <v>-3.5944369246526831E-2</v>
      </c>
      <c r="K65">
        <v>63</v>
      </c>
      <c r="L65">
        <f t="shared" ca="1" si="2"/>
        <v>114206.65070224789</v>
      </c>
      <c r="M65">
        <f t="shared" ca="1" si="3"/>
        <v>4206.7867279975162</v>
      </c>
      <c r="N65">
        <f t="shared" ca="1" si="4"/>
        <v>261.09247125614979</v>
      </c>
      <c r="O65" s="4">
        <f t="shared" ca="1" si="5"/>
        <v>9.0078781472600858E-2</v>
      </c>
      <c r="P65" s="4">
        <f t="shared" ca="1" si="6"/>
        <v>4.0771181029196801E-2</v>
      </c>
      <c r="Q65" s="4">
        <f t="shared" ca="1" si="7"/>
        <v>2.7517873802816975E-3</v>
      </c>
      <c r="R65" s="4" cm="1">
        <f t="array" aca="1" ref="R65" ca="1">_xlfn._xlws.SORT(SUMPRODUCT($U$2:$W$2,O65:Q65))</f>
        <v>4.4157643067543488E-2</v>
      </c>
      <c r="S65" s="4">
        <f ca="1"/>
        <v>-1.1328813152102492E-2</v>
      </c>
    </row>
    <row r="66" spans="1:19" x14ac:dyDescent="0.25">
      <c r="A66" s="4">
        <f>IFERROR(Merged_data[[#This Row],[BTCUSD_Close]]/Merged_data!D65-1,"")</f>
        <v>2.2618800581033494E-2</v>
      </c>
      <c r="B66" s="4">
        <f>IFERROR(Merged_data[[#This Row],[XAUUSD_Close]]/Merged_data!C65-1, "")</f>
        <v>-1.5449240020406485E-3</v>
      </c>
      <c r="C66" s="4">
        <f>IFERROR(Merged_data[[#This Row],[AAPL_Close]]/Merged_data!B65-1,"")</f>
        <v>4.617685862906562E-3</v>
      </c>
      <c r="D66" s="4">
        <f t="shared" si="0"/>
        <v>7.5529763323657576E-3</v>
      </c>
      <c r="E66">
        <f t="shared" ca="1" si="1"/>
        <v>3.6411804016857695E-2</v>
      </c>
      <c r="F66">
        <f t="shared" ca="1" si="1"/>
        <v>-0.79361180480115412</v>
      </c>
      <c r="G66">
        <f t="shared" ca="1" si="1"/>
        <v>2.3045186937057163</v>
      </c>
      <c r="H66">
        <f ca="1"/>
        <v>3.6411804016857695E-2</v>
      </c>
      <c r="I66">
        <f ca="1"/>
        <v>-0.79060546133322596</v>
      </c>
      <c r="J66">
        <f ca="1"/>
        <v>2.2311595328714797</v>
      </c>
      <c r="K66">
        <v>64</v>
      </c>
      <c r="L66">
        <f t="shared" ca="1" si="2"/>
        <v>110108.24482487538</v>
      </c>
      <c r="M66">
        <f t="shared" ca="1" si="3"/>
        <v>4081.2170746493516</v>
      </c>
      <c r="N66">
        <f t="shared" ca="1" si="4"/>
        <v>273.58102289179334</v>
      </c>
      <c r="O66" s="4">
        <f t="shared" ca="1" si="5"/>
        <v>-3.6545607047689645E-2</v>
      </c>
      <c r="P66" s="4">
        <f t="shared" ca="1" si="6"/>
        <v>-3.030386222326165E-2</v>
      </c>
      <c r="Q66" s="4">
        <f t="shared" ca="1" si="7"/>
        <v>4.6723181991956575E-2</v>
      </c>
      <c r="R66" s="4" cm="1">
        <f t="array" aca="1" ref="R66" ca="1">_xlfn._xlws.SORT(SUMPRODUCT($U$2:$W$2,O66:Q66))</f>
        <v>-9.0682724060245825E-3</v>
      </c>
      <c r="S66" s="4">
        <f ca="1"/>
        <v>-1.0828067950065669E-2</v>
      </c>
    </row>
    <row r="67" spans="1:19" x14ac:dyDescent="0.25">
      <c r="A67" s="4">
        <f>IFERROR(Merged_data[[#This Row],[BTCUSD_Close]]/Merged_data!D66-1,"")</f>
        <v>1.5760281385281294E-2</v>
      </c>
      <c r="B67" s="4">
        <f>IFERROR(Merged_data[[#This Row],[XAUUSD_Close]]/Merged_data!C66-1, "")</f>
        <v>1.2528898906371211E-2</v>
      </c>
      <c r="C67" s="4">
        <f>IFERROR(Merged_data[[#This Row],[AAPL_Close]]/Merged_data!B66-1,"")</f>
        <v>-7.3944884293821733E-3</v>
      </c>
      <c r="D67" s="4">
        <f t="shared" si="0"/>
        <v>7.5212974493182212E-3</v>
      </c>
      <c r="E67">
        <f t="shared" ca="1" si="1"/>
        <v>-0.21900313651104353</v>
      </c>
      <c r="F67">
        <f t="shared" ca="1" si="1"/>
        <v>-0.59322700056024036</v>
      </c>
      <c r="G67">
        <f t="shared" ca="1" si="1"/>
        <v>2.2938734140867014</v>
      </c>
      <c r="H67">
        <f ca="1"/>
        <v>-0.21900313651104353</v>
      </c>
      <c r="I67">
        <f ca="1"/>
        <v>-0.60390721593978214</v>
      </c>
      <c r="J67">
        <f ca="1"/>
        <v>2.151102148080712</v>
      </c>
      <c r="K67">
        <v>65</v>
      </c>
      <c r="L67">
        <f t="shared" ca="1" si="2"/>
        <v>109348.31097203297</v>
      </c>
      <c r="M67">
        <f t="shared" ca="1" si="3"/>
        <v>4090.5208470408234</v>
      </c>
      <c r="N67">
        <f t="shared" ca="1" si="4"/>
        <v>273.12976759678662</v>
      </c>
      <c r="O67" s="4">
        <f t="shared" ca="1" si="5"/>
        <v>-6.925624869612736E-3</v>
      </c>
      <c r="P67" s="4">
        <f t="shared" ca="1" si="6"/>
        <v>2.2770618687585932E-3</v>
      </c>
      <c r="Q67" s="4">
        <f t="shared" ca="1" si="7"/>
        <v>-1.6508011377694522E-3</v>
      </c>
      <c r="R67" s="4" cm="1">
        <f t="array" aca="1" ref="R67" ca="1">_xlfn._xlws.SORT(SUMPRODUCT($U$2:$W$2,O67:Q67))</f>
        <v>-1.6621030547112189E-3</v>
      </c>
      <c r="S67" s="4">
        <f ca="1"/>
        <v>-1.0676466389071678E-2</v>
      </c>
    </row>
    <row r="68" spans="1:19" x14ac:dyDescent="0.25">
      <c r="A68" s="4">
        <f>IFERROR(Merged_data[[#This Row],[BTCUSD_Close]]/Merged_data!D67-1,"")</f>
        <v>-3.3504884939925206E-2</v>
      </c>
      <c r="B68" s="4">
        <f>IFERROR(Merged_data[[#This Row],[XAUUSD_Close]]/Merged_data!C67-1, "")</f>
        <v>2.5356140140542216E-3</v>
      </c>
      <c r="C68" s="4">
        <f>IFERROR(Merged_data[[#This Row],[AAPL_Close]]/Merged_data!B67-1,"")</f>
        <v>-6.6911334055256289E-3</v>
      </c>
      <c r="D68" s="4">
        <f t="shared" ref="D68:D131" si="8">SUMPRODUCT(A68:C68,$U$2:$W$2)</f>
        <v>-1.1044559898013562E-2</v>
      </c>
      <c r="E68">
        <f t="shared" ref="E68:G131" ca="1" si="9">_xlfn.NORM.S.INV(RAND())</f>
        <v>0.25715122261590712</v>
      </c>
      <c r="F68">
        <f t="shared" ca="1" si="9"/>
        <v>-1.6320713603291175</v>
      </c>
      <c r="G68">
        <f t="shared" ca="1" si="9"/>
        <v>-1.2040928757939797</v>
      </c>
      <c r="H68">
        <f ca="1"/>
        <v>0.25715122261590712</v>
      </c>
      <c r="I68">
        <f ca="1"/>
        <v>-1.616318973329862</v>
      </c>
      <c r="J68">
        <f ca="1"/>
        <v>-1.083896889923132</v>
      </c>
      <c r="K68">
        <v>66</v>
      </c>
      <c r="L68">
        <f t="shared" ref="L68:L131" ca="1" si="10">$U$18*EXP(($U$16-(($U$17)^2/2))*K68/249+$U$17*H68)</f>
        <v>110768.79381698155</v>
      </c>
      <c r="M68">
        <f t="shared" ref="M68:M131" ca="1" si="11">$V$18*EXP(($V$16-(($V$17)^2/2))*K68/249+$V$17*I68)</f>
        <v>4040.3144666196254</v>
      </c>
      <c r="N68">
        <f t="shared" ref="N68:N131" ca="1" si="12">$W$18*EXP(($W$16-(($W$17)^2/2))*K68/249+$W$17*J68)</f>
        <v>255.51324089068828</v>
      </c>
      <c r="O68" s="4">
        <f t="shared" ca="1" si="5"/>
        <v>1.2906789461382276E-2</v>
      </c>
      <c r="P68" s="4">
        <f t="shared" ca="1" si="6"/>
        <v>-1.2349781195584603E-2</v>
      </c>
      <c r="Q68" s="4">
        <f t="shared" ca="1" si="7"/>
        <v>-6.6672789681555392E-2</v>
      </c>
      <c r="R68" s="4" cm="1">
        <f t="array" aca="1" ref="R68" ca="1">_xlfn._xlws.SORT(SUMPRODUCT($U$2:$W$2,O68:Q68))</f>
        <v>-2.1069712544285777E-2</v>
      </c>
      <c r="S68" s="4">
        <f ca="1"/>
        <v>-1.0271360880596877E-2</v>
      </c>
    </row>
    <row r="69" spans="1:19" x14ac:dyDescent="0.25">
      <c r="A69" s="4">
        <f>IFERROR(Merged_data[[#This Row],[BTCUSD_Close]]/Merged_data!D68-1,"")</f>
        <v>1.1614516176658984E-3</v>
      </c>
      <c r="B69" s="4">
        <f>IFERROR(Merged_data[[#This Row],[XAUUSD_Close]]/Merged_data!C68-1, "")</f>
        <v>4.8977610235321212E-3</v>
      </c>
      <c r="C69" s="4">
        <f>IFERROR(Merged_data[[#This Row],[AAPL_Close]]/Merged_data!B68-1,"")</f>
        <v>-3.3854950984343102E-2</v>
      </c>
      <c r="D69" s="4">
        <f t="shared" si="8"/>
        <v>-7.8489454005903122E-3</v>
      </c>
      <c r="E69">
        <f t="shared" ca="1" si="9"/>
        <v>-0.99239108523024877</v>
      </c>
      <c r="F69">
        <f t="shared" ca="1" si="9"/>
        <v>0.52976338321133321</v>
      </c>
      <c r="G69">
        <f t="shared" ca="1" si="9"/>
        <v>-0.6291257657263285</v>
      </c>
      <c r="H69">
        <f ca="1"/>
        <v>-0.99239108523024877</v>
      </c>
      <c r="I69">
        <f ca="1"/>
        <v>0.47692870495420508</v>
      </c>
      <c r="J69">
        <f ca="1"/>
        <v>-0.87602333687831413</v>
      </c>
      <c r="K69">
        <v>67</v>
      </c>
      <c r="L69">
        <f t="shared" ca="1" si="10"/>
        <v>107079.25445059745</v>
      </c>
      <c r="M69">
        <f t="shared" ca="1" si="11"/>
        <v>4144.8053897103619</v>
      </c>
      <c r="N69">
        <f t="shared" ca="1" si="12"/>
        <v>256.61003608830271</v>
      </c>
      <c r="O69" s="4">
        <f t="shared" ref="O69:O132" ca="1" si="13">LN(L69/L68)</f>
        <v>-3.3875834310794543E-2</v>
      </c>
      <c r="P69" s="4">
        <f t="shared" ref="P69:P132" ca="1" si="14">LN(M69/M68)</f>
        <v>2.5533309656342491E-2</v>
      </c>
      <c r="Q69" s="4">
        <f t="shared" ref="Q69:Q132" ca="1" si="15">LN(N69/N68)</f>
        <v>4.2833314704452145E-3</v>
      </c>
      <c r="R69" s="4" cm="1">
        <f t="array" aca="1" ref="R69" ca="1">_xlfn._xlws.SORT(SUMPRODUCT($U$2:$W$2,O69:Q69))</f>
        <v>1.3355730104321986E-3</v>
      </c>
      <c r="S69" s="4">
        <f ca="1"/>
        <v>-9.7626497205099607E-3</v>
      </c>
    </row>
    <row r="70" spans="1:19" x14ac:dyDescent="0.25">
      <c r="A70" s="4">
        <f>IFERROR(Merged_data[[#This Row],[BTCUSD_Close]]/Merged_data!D69-1,"")</f>
        <v>-3.9585115273066851E-2</v>
      </c>
      <c r="B70" s="4">
        <f>IFERROR(Merged_data[[#This Row],[XAUUSD_Close]]/Merged_data!C69-1, "")</f>
        <v>9.7975133214920351E-3</v>
      </c>
      <c r="C70" s="4">
        <f>IFERROR(Merged_data[[#This Row],[AAPL_Close]]/Merged_data!B69-1,"")</f>
        <v>2.1004566210045761E-2</v>
      </c>
      <c r="D70" s="4">
        <f t="shared" si="8"/>
        <v>-1.6551593903095128E-3</v>
      </c>
      <c r="E70">
        <f t="shared" ca="1" si="9"/>
        <v>3.9163759625987213E-2</v>
      </c>
      <c r="F70">
        <f t="shared" ca="1" si="9"/>
        <v>-0.4297450789803236</v>
      </c>
      <c r="G70">
        <f t="shared" ca="1" si="9"/>
        <v>-0.82727897361826785</v>
      </c>
      <c r="H70">
        <f ca="1"/>
        <v>3.9163759625987213E-2</v>
      </c>
      <c r="I70">
        <f ca="1"/>
        <v>-0.42709611487132626</v>
      </c>
      <c r="J70">
        <f ca="1"/>
        <v>-0.78431817989346697</v>
      </c>
      <c r="K70">
        <v>68</v>
      </c>
      <c r="L70">
        <f t="shared" ca="1" si="10"/>
        <v>110115.80962324266</v>
      </c>
      <c r="M70">
        <f t="shared" ca="1" si="11"/>
        <v>4099.3489503850178</v>
      </c>
      <c r="N70">
        <f t="shared" ca="1" si="12"/>
        <v>257.09526935503072</v>
      </c>
      <c r="O70" s="4">
        <f t="shared" ca="1" si="13"/>
        <v>2.7963370646262305E-2</v>
      </c>
      <c r="P70" s="4">
        <f t="shared" ca="1" si="14"/>
        <v>-1.1027668359980536E-2</v>
      </c>
      <c r="Q70" s="4">
        <f t="shared" ca="1" si="15"/>
        <v>1.8891508648963568E-3</v>
      </c>
      <c r="R70" s="4" cm="1">
        <f t="array" aca="1" ref="R70" ca="1">_xlfn._xlws.SORT(SUMPRODUCT($U$2:$W$2,O70:Q70))</f>
        <v>4.5446891093553834E-3</v>
      </c>
      <c r="S70" s="4">
        <f ca="1"/>
        <v>-9.752741428909379E-3</v>
      </c>
    </row>
    <row r="71" spans="1:19" x14ac:dyDescent="0.25">
      <c r="A71" s="4">
        <f>IFERROR(Merged_data[[#This Row],[BTCUSD_Close]]/Merged_data!D70-1,"")</f>
        <v>-1.2139594589337999E-2</v>
      </c>
      <c r="B71" s="4">
        <f>IFERROR(Merged_data[[#This Row],[XAUUSD_Close]]/Merged_data!C70-1, "")</f>
        <v>8.4746955230812215E-3</v>
      </c>
      <c r="C71" s="4">
        <f>IFERROR(Merged_data[[#This Row],[AAPL_Close]]/Merged_data!B70-1,"")</f>
        <v>-1.414786018990033E-3</v>
      </c>
      <c r="D71" s="4">
        <f t="shared" si="8"/>
        <v>-6.7643597326592052E-4</v>
      </c>
      <c r="E71">
        <f t="shared" ca="1" si="9"/>
        <v>0.88147411503676909</v>
      </c>
      <c r="F71">
        <f t="shared" ca="1" si="9"/>
        <v>-1.0203063761838558</v>
      </c>
      <c r="G71">
        <f t="shared" ca="1" si="9"/>
        <v>-0.80689051082964858</v>
      </c>
      <c r="H71">
        <f ca="1"/>
        <v>0.88147411503676909</v>
      </c>
      <c r="I71">
        <f ca="1"/>
        <v>-0.97261864006575993</v>
      </c>
      <c r="J71">
        <f ca="1"/>
        <v>-0.53471765242874947</v>
      </c>
      <c r="K71">
        <v>69</v>
      </c>
      <c r="L71">
        <f t="shared" ca="1" si="10"/>
        <v>112659.01500363853</v>
      </c>
      <c r="M71">
        <f t="shared" ca="1" si="11"/>
        <v>4072.1598762406175</v>
      </c>
      <c r="N71">
        <f t="shared" ca="1" si="12"/>
        <v>258.42099549502001</v>
      </c>
      <c r="O71" s="4">
        <f t="shared" ca="1" si="13"/>
        <v>2.2833063611357399E-2</v>
      </c>
      <c r="P71" s="4">
        <f t="shared" ca="1" si="14"/>
        <v>-6.6546276968187466E-3</v>
      </c>
      <c r="Q71" s="4">
        <f t="shared" ca="1" si="15"/>
        <v>5.1433064401676361E-3</v>
      </c>
      <c r="R71" s="4" cm="1">
        <f t="array" aca="1" ref="R71" ca="1">_xlfn._xlws.SORT(SUMPRODUCT($U$2:$W$2,O71:Q71))</f>
        <v>5.7310599367300123E-3</v>
      </c>
      <c r="S71" s="4">
        <f ca="1"/>
        <v>-9.7104057075138289E-3</v>
      </c>
    </row>
    <row r="72" spans="1:19" x14ac:dyDescent="0.25">
      <c r="A72" s="4">
        <f>IFERROR(Merged_data[[#This Row],[BTCUSD_Close]]/Merged_data!D71-1,"")</f>
        <v>4.5853639328226059E-3</v>
      </c>
      <c r="B72" s="4">
        <f>IFERROR(Merged_data[[#This Row],[XAUUSD_Close]]/Merged_data!C71-1, "")</f>
        <v>-3.7098794071170893E-3</v>
      </c>
      <c r="C72" s="4">
        <f>IFERROR(Merged_data[[#This Row],[AAPL_Close]]/Merged_data!B71-1,"")</f>
        <v>3.2254591649978348E-3</v>
      </c>
      <c r="D72" s="4">
        <f t="shared" si="8"/>
        <v>8.5929516649929617E-4</v>
      </c>
      <c r="E72">
        <f t="shared" ca="1" si="9"/>
        <v>-0.400393089467457</v>
      </c>
      <c r="F72">
        <f t="shared" ca="1" si="9"/>
        <v>-0.21453504869781959</v>
      </c>
      <c r="G72">
        <f t="shared" ca="1" si="9"/>
        <v>-0.85825906119590945</v>
      </c>
      <c r="H72">
        <f ca="1"/>
        <v>-0.400393089467457</v>
      </c>
      <c r="I72">
        <f ca="1"/>
        <v>-0.23526118443308794</v>
      </c>
      <c r="J72">
        <f ca="1"/>
        <v>-0.93382867297551719</v>
      </c>
      <c r="K72">
        <v>70</v>
      </c>
      <c r="L72">
        <f t="shared" ca="1" si="10"/>
        <v>108811.12130264255</v>
      </c>
      <c r="M72">
        <f t="shared" ca="1" si="11"/>
        <v>4108.9502789667276</v>
      </c>
      <c r="N72">
        <f t="shared" ca="1" si="12"/>
        <v>256.30385170758171</v>
      </c>
      <c r="O72" s="4">
        <f t="shared" ca="1" si="13"/>
        <v>-3.4752143286624869E-2</v>
      </c>
      <c r="P72" s="4">
        <f t="shared" ca="1" si="14"/>
        <v>8.9940484933448833E-3</v>
      </c>
      <c r="Q72" s="4">
        <f t="shared" ca="1" si="15"/>
        <v>-8.2263591446354815E-3</v>
      </c>
      <c r="R72" s="4" cm="1">
        <f t="array" aca="1" ref="R72" ca="1">_xlfn._xlws.SORT(SUMPRODUCT($U$2:$W$2,O72:Q72))</f>
        <v>-9.2959313320401509E-3</v>
      </c>
      <c r="S72" s="4">
        <f ca="1"/>
        <v>-9.6045729750389303E-3</v>
      </c>
    </row>
    <row r="73" spans="1:19" x14ac:dyDescent="0.25">
      <c r="A73" s="4">
        <f>IFERROR(Merged_data[[#This Row],[BTCUSD_Close]]/Merged_data!D72-1,"")</f>
        <v>-1.0580204074054134E-2</v>
      </c>
      <c r="B73" s="4">
        <f>IFERROR(Merged_data[[#This Row],[XAUUSD_Close]]/Merged_data!C72-1, "")</f>
        <v>1.6176272349603948E-3</v>
      </c>
      <c r="C73" s="4">
        <f>IFERROR(Merged_data[[#This Row],[AAPL_Close]]/Merged_data!B72-1,"")</f>
        <v>-2.3969368657818402E-2</v>
      </c>
      <c r="D73" s="4">
        <f t="shared" si="8"/>
        <v>-9.7178209255776027E-3</v>
      </c>
      <c r="E73">
        <f t="shared" ca="1" si="9"/>
        <v>-0.43290718303743209</v>
      </c>
      <c r="F73">
        <f t="shared" ca="1" si="9"/>
        <v>0.56665412246719793</v>
      </c>
      <c r="G73">
        <f t="shared" ca="1" si="9"/>
        <v>0.20783044540475087</v>
      </c>
      <c r="H73">
        <f ca="1"/>
        <v>-0.43290718303743209</v>
      </c>
      <c r="I73">
        <f ca="1"/>
        <v>0.54314342070741628</v>
      </c>
      <c r="J73">
        <f ca="1"/>
        <v>8.0963772490458302E-2</v>
      </c>
      <c r="K73">
        <v>71</v>
      </c>
      <c r="L73">
        <f t="shared" ca="1" si="10"/>
        <v>108715.09286760063</v>
      </c>
      <c r="M73">
        <f t="shared" ca="1" si="11"/>
        <v>4148.1495130494004</v>
      </c>
      <c r="N73">
        <f t="shared" ca="1" si="12"/>
        <v>261.72052701459558</v>
      </c>
      <c r="O73" s="4">
        <f t="shared" ca="1" si="13"/>
        <v>-8.829137365937113E-4</v>
      </c>
      <c r="P73" s="4">
        <f t="shared" ca="1" si="14"/>
        <v>9.4947450205159697E-3</v>
      </c>
      <c r="Q73" s="4">
        <f t="shared" ca="1" si="15"/>
        <v>2.0913582278836235E-2</v>
      </c>
      <c r="R73" s="4" cm="1">
        <f t="array" aca="1" ref="R73" ca="1">_xlfn._xlws.SORT(SUMPRODUCT($U$2:$W$2,O73:Q73))</f>
        <v>9.8070985708791445E-3</v>
      </c>
      <c r="S73" s="4">
        <f ca="1"/>
        <v>-9.4887336945141971E-3</v>
      </c>
    </row>
    <row r="74" spans="1:19" x14ac:dyDescent="0.25">
      <c r="A74" s="4">
        <f>IFERROR(Merged_data[[#This Row],[BTCUSD_Close]]/Merged_data!D73-1,"")</f>
        <v>1.5725686643487391E-2</v>
      </c>
      <c r="B74" s="4">
        <f>IFERROR(Merged_data[[#This Row],[XAUUSD_Close]]/Merged_data!C73-1, "")</f>
        <v>1.6566136077227123E-2</v>
      </c>
      <c r="C74" s="4">
        <f>IFERROR(Merged_data[[#This Row],[AAPL_Close]]/Merged_data!B73-1,"")</f>
        <v>1.1874395285424999E-3</v>
      </c>
      <c r="D74" s="4">
        <f t="shared" si="8"/>
        <v>1.1700392282499817E-2</v>
      </c>
      <c r="E74">
        <f t="shared" ca="1" si="9"/>
        <v>0.60081925342754405</v>
      </c>
      <c r="F74">
        <f t="shared" ca="1" si="9"/>
        <v>2.220881252226969</v>
      </c>
      <c r="G74">
        <f t="shared" ca="1" si="9"/>
        <v>-0.78241838106407979</v>
      </c>
      <c r="H74">
        <f ca="1"/>
        <v>0.60081925342754405</v>
      </c>
      <c r="I74">
        <f ca="1"/>
        <v>2.2493631893366381</v>
      </c>
      <c r="J74">
        <f ca="1"/>
        <v>-0.5984027873521518</v>
      </c>
      <c r="K74">
        <v>72</v>
      </c>
      <c r="L74">
        <f t="shared" ca="1" si="10"/>
        <v>111804.61898001139</v>
      </c>
      <c r="M74">
        <f t="shared" ca="1" si="11"/>
        <v>4235.3867468701437</v>
      </c>
      <c r="N74">
        <f t="shared" ca="1" si="12"/>
        <v>258.08137406951113</v>
      </c>
      <c r="O74" s="4">
        <f t="shared" ca="1" si="13"/>
        <v>2.8022241220195077E-2</v>
      </c>
      <c r="P74" s="4">
        <f t="shared" ca="1" si="14"/>
        <v>2.0812311180054815E-2</v>
      </c>
      <c r="Q74" s="4">
        <f t="shared" ca="1" si="15"/>
        <v>-1.4002305094972715E-2</v>
      </c>
      <c r="R74" s="4" cm="1">
        <f t="array" aca="1" ref="R74" ca="1">_xlfn._xlws.SORT(SUMPRODUCT($U$2:$W$2,O74:Q74))</f>
        <v>1.2530905309588633E-2</v>
      </c>
      <c r="S74" s="4">
        <f ca="1"/>
        <v>-9.3193303044752981E-3</v>
      </c>
    </row>
    <row r="75" spans="1:19" x14ac:dyDescent="0.25">
      <c r="A75" s="4">
        <f>IFERROR(Merged_data[[#This Row],[BTCUSD_Close]]/Merged_data!D74-1,"")</f>
        <v>-1.9404092667500761E-2</v>
      </c>
      <c r="B75" s="4">
        <f>IFERROR(Merged_data[[#This Row],[XAUUSD_Close]]/Merged_data!C74-1, "")</f>
        <v>-3.5986375726648756E-3</v>
      </c>
      <c r="C75" s="4">
        <f>IFERROR(Merged_data[[#This Row],[AAPL_Close]]/Merged_data!B74-1,"")</f>
        <v>2.1831759279595797E-2</v>
      </c>
      <c r="D75" s="4">
        <f t="shared" si="8"/>
        <v>-7.1115504543743917E-4</v>
      </c>
      <c r="E75">
        <f t="shared" ca="1" si="9"/>
        <v>-0.14578558702473146</v>
      </c>
      <c r="F75">
        <f t="shared" ca="1" si="9"/>
        <v>-0.27870502292219523</v>
      </c>
      <c r="G75">
        <f t="shared" ca="1" si="9"/>
        <v>0.87677197762411896</v>
      </c>
      <c r="H75">
        <f ca="1"/>
        <v>-0.14578558702473146</v>
      </c>
      <c r="I75">
        <f ca="1"/>
        <v>-0.28597486872674788</v>
      </c>
      <c r="J75">
        <f ca="1"/>
        <v>0.8055857152304623</v>
      </c>
      <c r="K75">
        <v>73</v>
      </c>
      <c r="L75">
        <f t="shared" ca="1" si="10"/>
        <v>109564.2767998339</v>
      </c>
      <c r="M75">
        <f t="shared" ca="1" si="11"/>
        <v>4106.4055476747017</v>
      </c>
      <c r="N75">
        <f t="shared" ca="1" si="12"/>
        <v>265.65797786640559</v>
      </c>
      <c r="O75" s="4">
        <f t="shared" ca="1" si="13"/>
        <v>-2.0241494760675924E-2</v>
      </c>
      <c r="P75" s="4">
        <f t="shared" ca="1" si="14"/>
        <v>-3.0926562263877366E-2</v>
      </c>
      <c r="Q75" s="4">
        <f t="shared" ca="1" si="15"/>
        <v>2.8934745377479212E-2</v>
      </c>
      <c r="R75" s="4" cm="1">
        <f t="array" aca="1" ref="R75" ca="1">_xlfn._xlws.SORT(SUMPRODUCT($U$2:$W$2,O75:Q75))</f>
        <v>-9.7626497205099607E-3</v>
      </c>
      <c r="S75" s="4">
        <f ca="1"/>
        <v>-9.2959313320401509E-3</v>
      </c>
    </row>
    <row r="76" spans="1:19" x14ac:dyDescent="0.25">
      <c r="A76" s="4">
        <f>IFERROR(Merged_data[[#This Row],[BTCUSD_Close]]/Merged_data!D75-1,"")</f>
        <v>2.3867092887183583E-2</v>
      </c>
      <c r="B76" s="4">
        <f>IFERROR(Merged_data[[#This Row],[XAUUSD_Close]]/Merged_data!C75-1, "")</f>
        <v>2.184581616383241E-3</v>
      </c>
      <c r="C76" s="4">
        <f>IFERROR(Merged_data[[#This Row],[AAPL_Close]]/Merged_data!B75-1,"")</f>
        <v>1.8270140142722102E-2</v>
      </c>
      <c r="D76" s="4">
        <f t="shared" si="8"/>
        <v>1.3515002555525001E-2</v>
      </c>
      <c r="E76">
        <f t="shared" ca="1" si="9"/>
        <v>-0.56380431676041964</v>
      </c>
      <c r="F76">
        <f t="shared" ca="1" si="9"/>
        <v>0.41858224213244855</v>
      </c>
      <c r="G76">
        <f t="shared" ca="1" si="9"/>
        <v>1.4255448648340334</v>
      </c>
      <c r="H76">
        <f ca="1"/>
        <v>-0.56380431676041964</v>
      </c>
      <c r="I76">
        <f ca="1"/>
        <v>0.3884032133494873</v>
      </c>
      <c r="J76">
        <f ca="1"/>
        <v>1.218344605961651</v>
      </c>
      <c r="K76">
        <v>74</v>
      </c>
      <c r="L76">
        <f t="shared" ca="1" si="10"/>
        <v>108329.51659591362</v>
      </c>
      <c r="M76">
        <f t="shared" ca="1" si="11"/>
        <v>4140.3234140734603</v>
      </c>
      <c r="N76">
        <f t="shared" ca="1" si="12"/>
        <v>267.92728363387721</v>
      </c>
      <c r="O76" s="4">
        <f t="shared" ca="1" si="13"/>
        <v>-1.1333718157398365E-2</v>
      </c>
      <c r="P76" s="4">
        <f t="shared" ca="1" si="14"/>
        <v>8.225820881897954E-3</v>
      </c>
      <c r="Q76" s="4">
        <f t="shared" ca="1" si="15"/>
        <v>8.5059300298403421E-3</v>
      </c>
      <c r="R76" s="4" cm="1">
        <f t="array" aca="1" ref="R76" ca="1">_xlfn._xlws.SORT(SUMPRODUCT($U$2:$W$2,O76:Q76))</f>
        <v>2.441991914491775E-3</v>
      </c>
      <c r="S76" s="4">
        <f ca="1"/>
        <v>-9.1032910231243994E-3</v>
      </c>
    </row>
    <row r="77" spans="1:19" x14ac:dyDescent="0.25">
      <c r="A77" s="4">
        <f>IFERROR(Merged_data[[#This Row],[BTCUSD_Close]]/Merged_data!D76-1,"")</f>
        <v>-1.4897114629678243E-2</v>
      </c>
      <c r="B77" s="4">
        <f>IFERROR(Merged_data[[#This Row],[XAUUSD_Close]]/Merged_data!C76-1, "")</f>
        <v>8.343922504485235E-3</v>
      </c>
      <c r="C77" s="4">
        <f>IFERROR(Merged_data[[#This Row],[AAPL_Close]]/Merged_data!B76-1,"")</f>
        <v>1.9673238485245159E-2</v>
      </c>
      <c r="D77" s="4">
        <f t="shared" si="8"/>
        <v>4.7704061584641702E-3</v>
      </c>
      <c r="E77">
        <f t="shared" ca="1" si="9"/>
        <v>-1.5902545434388333</v>
      </c>
      <c r="F77">
        <f t="shared" ca="1" si="9"/>
        <v>1.3130239668608872</v>
      </c>
      <c r="G77">
        <f t="shared" ca="1" si="9"/>
        <v>-0.50400082185379869</v>
      </c>
      <c r="H77">
        <f ca="1"/>
        <v>-1.5902545434388333</v>
      </c>
      <c r="I77">
        <f ca="1"/>
        <v>1.2277190499053967</v>
      </c>
      <c r="J77">
        <f ca="1"/>
        <v>-0.92006887079100153</v>
      </c>
      <c r="K77">
        <v>75</v>
      </c>
      <c r="L77">
        <f t="shared" ca="1" si="10"/>
        <v>105356.48790959752</v>
      </c>
      <c r="M77">
        <f t="shared" ca="1" si="11"/>
        <v>4182.9287094472302</v>
      </c>
      <c r="N77">
        <f t="shared" ca="1" si="12"/>
        <v>256.37545224092975</v>
      </c>
      <c r="O77" s="4">
        <f t="shared" ca="1" si="13"/>
        <v>-2.7827938930589304E-2</v>
      </c>
      <c r="P77" s="4">
        <f t="shared" ca="1" si="14"/>
        <v>1.0237745262946393E-2</v>
      </c>
      <c r="Q77" s="4">
        <f t="shared" ca="1" si="15"/>
        <v>-4.4072633596786051E-2</v>
      </c>
      <c r="R77" s="4" cm="1">
        <f t="array" aca="1" ref="R77" ca="1">_xlfn._xlws.SORT(SUMPRODUCT($U$2:$W$2,O77:Q77))</f>
        <v>-1.7475073653034048E-2</v>
      </c>
      <c r="S77" s="4">
        <f ca="1"/>
        <v>-9.0682724060245825E-3</v>
      </c>
    </row>
    <row r="78" spans="1:19" x14ac:dyDescent="0.25">
      <c r="A78" s="4">
        <f>IFERROR(Merged_data[[#This Row],[BTCUSD_Close]]/Merged_data!D77-1,"")</f>
        <v>8.2295216707277685E-3</v>
      </c>
      <c r="B78" s="4">
        <f>IFERROR(Merged_data[[#This Row],[XAUUSD_Close]]/Merged_data!C77-1, "")</f>
        <v>-1.467825991926619E-2</v>
      </c>
      <c r="C78" s="4">
        <f>IFERROR(Merged_data[[#This Row],[AAPL_Close]]/Merged_data!B77-1,"")</f>
        <v>1.2710636359872352E-2</v>
      </c>
      <c r="D78" s="4">
        <f t="shared" si="8"/>
        <v>4.107434414735594E-4</v>
      </c>
      <c r="E78">
        <f t="shared" ca="1" si="9"/>
        <v>0.7040280725940552</v>
      </c>
      <c r="F78">
        <f t="shared" ca="1" si="9"/>
        <v>0.97037187349574128</v>
      </c>
      <c r="G78">
        <f t="shared" ca="1" si="9"/>
        <v>1.265655287282377</v>
      </c>
      <c r="H78">
        <f ca="1"/>
        <v>0.7040280725940552</v>
      </c>
      <c r="I78">
        <f ca="1"/>
        <v>1.0059974109201486</v>
      </c>
      <c r="J78">
        <f ca="1"/>
        <v>1.4055469701567276</v>
      </c>
      <c r="K78">
        <v>76</v>
      </c>
      <c r="L78">
        <f t="shared" ca="1" si="10"/>
        <v>112117.21674265235</v>
      </c>
      <c r="M78">
        <f t="shared" ca="1" si="11"/>
        <v>4171.6296870454107</v>
      </c>
      <c r="N78">
        <f t="shared" ca="1" si="12"/>
        <v>268.96252784890743</v>
      </c>
      <c r="O78" s="4">
        <f t="shared" ca="1" si="13"/>
        <v>6.2195179385426687E-2</v>
      </c>
      <c r="P78" s="4">
        <f t="shared" ca="1" si="14"/>
        <v>-2.7048776858251498E-3</v>
      </c>
      <c r="Q78" s="4">
        <f t="shared" ca="1" si="15"/>
        <v>4.7929087848372888E-2</v>
      </c>
      <c r="R78" s="4" cm="1">
        <f t="array" aca="1" ref="R78" ca="1">_xlfn._xlws.SORT(SUMPRODUCT($U$2:$W$2,O78:Q78))</f>
        <v>3.1955329095809809E-2</v>
      </c>
      <c r="S78" s="4">
        <f ca="1"/>
        <v>-9.0529111105900791E-3</v>
      </c>
    </row>
    <row r="79" spans="1:19" x14ac:dyDescent="0.25">
      <c r="A79" s="4">
        <f>IFERROR(Merged_data[[#This Row],[BTCUSD_Close]]/Merged_data!D78-1,"")</f>
        <v>-1.9415686944563859E-2</v>
      </c>
      <c r="B79" s="4">
        <f>IFERROR(Merged_data[[#This Row],[XAUUSD_Close]]/Merged_data!C78-1, "")</f>
        <v>1.7375119577423881E-2</v>
      </c>
      <c r="C79" s="4">
        <f>IFERROR(Merged_data[[#This Row],[AAPL_Close]]/Merged_data!B78-1,"")</f>
        <v>-5.3147996729352442E-4</v>
      </c>
      <c r="D79" s="4">
        <f t="shared" si="8"/>
        <v>9.6589775741233767E-4</v>
      </c>
      <c r="E79">
        <f t="shared" ca="1" si="9"/>
        <v>-0.92020004428990598</v>
      </c>
      <c r="F79">
        <f t="shared" ca="1" si="9"/>
        <v>0.49189563628838417</v>
      </c>
      <c r="G79">
        <f t="shared" ca="1" si="9"/>
        <v>-0.9065803255364191</v>
      </c>
      <c r="H79">
        <f ca="1"/>
        <v>-0.92020004428990598</v>
      </c>
      <c r="I79">
        <f ca="1"/>
        <v>0.44290346919770041</v>
      </c>
      <c r="J79">
        <f ca="1"/>
        <v>-1.1234607473615026</v>
      </c>
      <c r="K79">
        <v>77</v>
      </c>
      <c r="L79">
        <f t="shared" ca="1" si="10"/>
        <v>107287.43652348252</v>
      </c>
      <c r="M79">
        <f t="shared" ca="1" si="11"/>
        <v>4143.0730969167907</v>
      </c>
      <c r="N79">
        <f t="shared" ca="1" si="12"/>
        <v>255.30258653805265</v>
      </c>
      <c r="O79" s="4">
        <f t="shared" ca="1" si="13"/>
        <v>-4.4033346678095532E-2</v>
      </c>
      <c r="P79" s="4">
        <f t="shared" ca="1" si="14"/>
        <v>-6.8689652900147192E-3</v>
      </c>
      <c r="Q79" s="4">
        <f t="shared" ca="1" si="15"/>
        <v>-5.2122612658193644E-2</v>
      </c>
      <c r="R79" s="4" cm="1">
        <f t="array" aca="1" ref="R79" ca="1">_xlfn._xlws.SORT(SUMPRODUCT($U$2:$W$2,O79:Q79))</f>
        <v>-3.159437391689264E-2</v>
      </c>
      <c r="S79" s="4">
        <f ca="1"/>
        <v>-8.7273089865593668E-3</v>
      </c>
    </row>
    <row r="80" spans="1:19" x14ac:dyDescent="0.25">
      <c r="A80" s="4">
        <f>IFERROR(Merged_data[[#This Row],[BTCUSD_Close]]/Merged_data!D79-1,"")</f>
        <v>1.3233319792457232E-2</v>
      </c>
      <c r="B80" s="4">
        <f>IFERROR(Merged_data[[#This Row],[XAUUSD_Close]]/Merged_data!C79-1, "")</f>
        <v>-8.0060232549417076E-4</v>
      </c>
      <c r="C80" s="4">
        <f>IFERROR(Merged_data[[#This Row],[AAPL_Close]]/Merged_data!B79-1,"")</f>
        <v>1.636192579866691E-3</v>
      </c>
      <c r="D80" s="4">
        <f t="shared" si="8"/>
        <v>4.1406127814995084E-3</v>
      </c>
      <c r="E80">
        <f t="shared" ca="1" si="9"/>
        <v>-1.1377588536812553</v>
      </c>
      <c r="F80">
        <f t="shared" ca="1" si="9"/>
        <v>0.94054183999526353</v>
      </c>
      <c r="G80">
        <f t="shared" ca="1" si="9"/>
        <v>1.3727841113106731</v>
      </c>
      <c r="H80">
        <f ca="1"/>
        <v>-1.1377588536812553</v>
      </c>
      <c r="I80">
        <f ca="1"/>
        <v>0.87950827622997529</v>
      </c>
      <c r="J80">
        <f ca="1"/>
        <v>1.0104307659134477</v>
      </c>
      <c r="K80">
        <v>78</v>
      </c>
      <c r="L80">
        <f t="shared" ca="1" si="10"/>
        <v>106656.37179242779</v>
      </c>
      <c r="M80">
        <f t="shared" ca="1" si="11"/>
        <v>4165.1956495899531</v>
      </c>
      <c r="N80">
        <f t="shared" ca="1" si="12"/>
        <v>266.78075735933709</v>
      </c>
      <c r="O80" s="4">
        <f t="shared" ca="1" si="13"/>
        <v>-5.8993673735385447E-3</v>
      </c>
      <c r="P80" s="4">
        <f t="shared" ca="1" si="14"/>
        <v>5.3254427924070424E-3</v>
      </c>
      <c r="Q80" s="4">
        <f t="shared" ca="1" si="15"/>
        <v>4.3977732036512063E-2</v>
      </c>
      <c r="R80" s="4" cm="1">
        <f t="array" aca="1" ref="R80" ca="1">_xlfn._xlws.SORT(SUMPRODUCT($U$2:$W$2,O80:Q80))</f>
        <v>1.3553686515854872E-2</v>
      </c>
      <c r="S80" s="4">
        <f ca="1"/>
        <v>-8.6277196206523583E-3</v>
      </c>
    </row>
    <row r="81" spans="1:19" x14ac:dyDescent="0.25">
      <c r="A81" s="4">
        <f>IFERROR(Merged_data[[#This Row],[BTCUSD_Close]]/Merged_data!D80-1,"")</f>
        <v>1.6803449368990142E-2</v>
      </c>
      <c r="B81" s="4">
        <f>IFERROR(Merged_data[[#This Row],[XAUUSD_Close]]/Merged_data!C80-1, "")</f>
        <v>2.2963306443364306E-3</v>
      </c>
      <c r="C81" s="4">
        <f>IFERROR(Merged_data[[#This Row],[AAPL_Close]]/Merged_data!B80-1,"")</f>
        <v>3.9204475844325515E-3</v>
      </c>
      <c r="D81" s="4">
        <f t="shared" si="8"/>
        <v>7.13570134376138E-3</v>
      </c>
      <c r="E81">
        <f t="shared" ca="1" si="9"/>
        <v>-1.2994805392873978</v>
      </c>
      <c r="F81">
        <f t="shared" ca="1" si="9"/>
        <v>0.36803306875702296</v>
      </c>
      <c r="G81">
        <f t="shared" ca="1" si="9"/>
        <v>-1.877330483943545</v>
      </c>
      <c r="H81">
        <f ca="1"/>
        <v>-1.2994805392873978</v>
      </c>
      <c r="I81">
        <f ca="1"/>
        <v>0.29929818997822288</v>
      </c>
      <c r="J81">
        <f ca="1"/>
        <v>-2.1601871604474683</v>
      </c>
      <c r="K81">
        <v>79</v>
      </c>
      <c r="L81">
        <f t="shared" ca="1" si="10"/>
        <v>106189.63788057894</v>
      </c>
      <c r="M81">
        <f t="shared" ca="1" si="11"/>
        <v>4135.8195194991931</v>
      </c>
      <c r="N81">
        <f t="shared" ca="1" si="12"/>
        <v>249.90510477379624</v>
      </c>
      <c r="O81" s="4">
        <f t="shared" ca="1" si="13"/>
        <v>-4.3856557204092535E-3</v>
      </c>
      <c r="P81" s="4">
        <f t="shared" ca="1" si="14"/>
        <v>-7.0777494376873563E-3</v>
      </c>
      <c r="Q81" s="4">
        <f t="shared" ca="1" si="15"/>
        <v>-6.5345922701489437E-2</v>
      </c>
      <c r="R81" s="4" cm="1">
        <f t="array" aca="1" ref="R81" ca="1">_xlfn._xlws.SORT(SUMPRODUCT($U$2:$W$2,O81:Q81))</f>
        <v>-2.375057330164455E-2</v>
      </c>
      <c r="S81" s="4">
        <f ca="1"/>
        <v>-8.6260542585508623E-3</v>
      </c>
    </row>
    <row r="82" spans="1:19" x14ac:dyDescent="0.25">
      <c r="A82" s="4">
        <f>IFERROR(Merged_data[[#This Row],[BTCUSD_Close]]/Merged_data!D81-1,"")</f>
        <v>-3.062665435894929E-2</v>
      </c>
      <c r="B82" s="4">
        <f>IFERROR(Merged_data[[#This Row],[XAUUSD_Close]]/Merged_data!C81-1, "")</f>
        <v>-1.6175257468937776E-3</v>
      </c>
      <c r="C82" s="4">
        <f>IFERROR(Merged_data[[#This Row],[AAPL_Close]]/Merged_data!B81-1,"")</f>
        <v>-1.1389984948948495E-3</v>
      </c>
      <c r="D82" s="4">
        <f t="shared" si="8"/>
        <v>-1.0176706154910753E-2</v>
      </c>
      <c r="E82">
        <f t="shared" ca="1" si="9"/>
        <v>-0.42590313575461375</v>
      </c>
      <c r="F82">
        <f t="shared" ca="1" si="9"/>
        <v>2.1694338004139313</v>
      </c>
      <c r="G82">
        <f t="shared" ca="1" si="9"/>
        <v>-0.11688063116731608</v>
      </c>
      <c r="H82">
        <f ca="1"/>
        <v>-0.42590313575461375</v>
      </c>
      <c r="I82">
        <f ca="1"/>
        <v>2.1440801864994565</v>
      </c>
      <c r="J82">
        <f ca="1"/>
        <v>-0.23532755693668148</v>
      </c>
      <c r="K82">
        <v>80</v>
      </c>
      <c r="L82">
        <f t="shared" ca="1" si="10"/>
        <v>108734.29298718605</v>
      </c>
      <c r="M82">
        <f t="shared" ca="1" si="11"/>
        <v>4229.9408287027163</v>
      </c>
      <c r="N82">
        <f t="shared" ca="1" si="12"/>
        <v>260.01802078131362</v>
      </c>
      <c r="O82" s="4">
        <f t="shared" ca="1" si="13"/>
        <v>2.3680694934261726E-2</v>
      </c>
      <c r="P82" s="4">
        <f t="shared" ca="1" si="14"/>
        <v>2.250250470468362E-2</v>
      </c>
      <c r="Q82" s="4">
        <f t="shared" ca="1" si="15"/>
        <v>3.966967441264805E-2</v>
      </c>
      <c r="R82" s="4" cm="1">
        <f t="array" aca="1" ref="R82" ca="1">_xlfn._xlws.SORT(SUMPRODUCT($U$2:$W$2,O82:Q82))</f>
        <v>2.8006112685946383E-2</v>
      </c>
      <c r="S82" s="4">
        <f ca="1"/>
        <v>-7.9370708819587674E-3</v>
      </c>
    </row>
    <row r="83" spans="1:19" x14ac:dyDescent="0.25">
      <c r="A83" s="4">
        <f>IFERROR(Merged_data[[#This Row],[BTCUSD_Close]]/Merged_data!D82-1,"")</f>
        <v>-2.8443261673382736E-2</v>
      </c>
      <c r="B83" s="4">
        <f>IFERROR(Merged_data[[#This Row],[XAUUSD_Close]]/Merged_data!C82-1, "")</f>
        <v>6.0785302495469651E-3</v>
      </c>
      <c r="C83" s="4">
        <f>IFERROR(Merged_data[[#This Row],[AAPL_Close]]/Merged_data!B82-1,"")</f>
        <v>6.605579311748988E-3</v>
      </c>
      <c r="D83" s="4">
        <f t="shared" si="8"/>
        <v>-4.1198926086713382E-3</v>
      </c>
      <c r="E83">
        <f t="shared" ca="1" si="9"/>
        <v>-1.3977235276476658</v>
      </c>
      <c r="F83">
        <f t="shared" ca="1" si="9"/>
        <v>0.87331784177264404</v>
      </c>
      <c r="G83">
        <f t="shared" ca="1" si="9"/>
        <v>-0.16960903769699459</v>
      </c>
      <c r="H83">
        <f ca="1"/>
        <v>-1.3977235276476658</v>
      </c>
      <c r="I83">
        <f ca="1"/>
        <v>0.79872794425054183</v>
      </c>
      <c r="J83">
        <f ca="1"/>
        <v>-0.54452414942869676</v>
      </c>
      <c r="K83">
        <v>81</v>
      </c>
      <c r="L83">
        <f t="shared" ca="1" si="10"/>
        <v>105906.88567819828</v>
      </c>
      <c r="M83">
        <f t="shared" ca="1" si="11"/>
        <v>4161.0897024974802</v>
      </c>
      <c r="N83">
        <f t="shared" ca="1" si="12"/>
        <v>258.36612750259536</v>
      </c>
      <c r="O83" s="4">
        <f t="shared" ca="1" si="13"/>
        <v>-2.6346956173646973E-2</v>
      </c>
      <c r="P83" s="4">
        <f t="shared" ca="1" si="14"/>
        <v>-1.6411016787391687E-2</v>
      </c>
      <c r="Q83" s="4">
        <f t="shared" ca="1" si="15"/>
        <v>-6.3732615112946454E-3</v>
      </c>
      <c r="R83" s="4" cm="1">
        <f t="array" aca="1" ref="R83" ca="1">_xlfn._xlws.SORT(SUMPRODUCT($U$2:$W$2,O83:Q83))</f>
        <v>-1.6380472020439161E-2</v>
      </c>
      <c r="S83" s="4">
        <f ca="1"/>
        <v>-7.8181229882217321E-3</v>
      </c>
    </row>
    <row r="84" spans="1:19" x14ac:dyDescent="0.25">
      <c r="A84" s="4">
        <f>IFERROR(Merged_data[[#This Row],[BTCUSD_Close]]/Merged_data!D83-1,"")</f>
        <v>-4.0224973387452789E-2</v>
      </c>
      <c r="B84" s="4">
        <f>IFERROR(Merged_data[[#This Row],[XAUUSD_Close]]/Merged_data!C83-1, "")</f>
        <v>-1.2789728931576039E-2</v>
      </c>
      <c r="C84" s="4">
        <f>IFERROR(Merged_data[[#This Row],[AAPL_Close]]/Merged_data!B83-1,"")</f>
        <v>-5.340410726134559E-4</v>
      </c>
      <c r="D84" s="4">
        <f t="shared" si="8"/>
        <v>-1.7343595910650288E-2</v>
      </c>
      <c r="E84">
        <f t="shared" ca="1" si="9"/>
        <v>0.30031944390082355</v>
      </c>
      <c r="F84">
        <f t="shared" ca="1" si="9"/>
        <v>-1.3927907244007309</v>
      </c>
      <c r="G84">
        <f t="shared" ca="1" si="9"/>
        <v>0.92364429713847174</v>
      </c>
      <c r="H84">
        <f ca="1"/>
        <v>0.30031944390082355</v>
      </c>
      <c r="I84">
        <f ca="1"/>
        <v>-1.375101885144338</v>
      </c>
      <c r="J84">
        <f ca="1"/>
        <v>0.97530237146284104</v>
      </c>
      <c r="K84">
        <v>82</v>
      </c>
      <c r="L84">
        <f t="shared" ca="1" si="10"/>
        <v>110895.88006193806</v>
      </c>
      <c r="M84">
        <f t="shared" ca="1" si="11"/>
        <v>4052.2007667093767</v>
      </c>
      <c r="N84">
        <f t="shared" ca="1" si="12"/>
        <v>266.58677352762953</v>
      </c>
      <c r="O84" s="4">
        <f t="shared" ca="1" si="13"/>
        <v>4.6031472576572245E-2</v>
      </c>
      <c r="P84" s="4">
        <f t="shared" ca="1" si="14"/>
        <v>-2.6516854968526203E-2</v>
      </c>
      <c r="Q84" s="4">
        <f t="shared" ca="1" si="15"/>
        <v>3.1322117039882906E-2</v>
      </c>
      <c r="R84" s="4" cm="1">
        <f t="array" aca="1" ref="R84" ca="1">_xlfn._xlws.SORT(SUMPRODUCT($U$2:$W$2,O84:Q84))</f>
        <v>1.2599334897526062E-2</v>
      </c>
      <c r="S84" s="4">
        <f ca="1"/>
        <v>-7.7361654620178811E-3</v>
      </c>
    </row>
    <row r="85" spans="1:19" x14ac:dyDescent="0.25">
      <c r="A85" s="4">
        <f>IFERROR(Merged_data[[#This Row],[BTCUSD_Close]]/Merged_data!D84-1,"")</f>
        <v>-5.0717262196613433E-2</v>
      </c>
      <c r="B85" s="4">
        <f>IFERROR(Merged_data[[#This Row],[XAUUSD_Close]]/Merged_data!C84-1, "")</f>
        <v>4.7512945991345923E-4</v>
      </c>
      <c r="C85" s="4">
        <f>IFERROR(Merged_data[[#This Row],[AAPL_Close]]/Merged_data!B84-1,"")</f>
        <v>-2.7040155440414382E-2</v>
      </c>
      <c r="D85" s="4">
        <f t="shared" si="8"/>
        <v>-2.313717350714296E-2</v>
      </c>
      <c r="E85">
        <f t="shared" ca="1" si="9"/>
        <v>1.2926438907227791</v>
      </c>
      <c r="F85">
        <f t="shared" ca="1" si="9"/>
        <v>-0.59001397567497382</v>
      </c>
      <c r="G85">
        <f t="shared" ca="1" si="9"/>
        <v>1.2437260072276923</v>
      </c>
      <c r="H85">
        <f ca="1"/>
        <v>1.2926438907227791</v>
      </c>
      <c r="I85">
        <f ca="1"/>
        <v>-0.52133187554307081</v>
      </c>
      <c r="J85">
        <f ca="1"/>
        <v>1.5491462110989516</v>
      </c>
      <c r="K85">
        <v>83</v>
      </c>
      <c r="L85">
        <f t="shared" ca="1" si="10"/>
        <v>113919.4478944557</v>
      </c>
      <c r="M85">
        <f t="shared" ca="1" si="11"/>
        <v>4094.6211230470872</v>
      </c>
      <c r="N85">
        <f t="shared" ca="1" si="12"/>
        <v>269.75809589732035</v>
      </c>
      <c r="O85" s="4">
        <f t="shared" ca="1" si="13"/>
        <v>2.6899857581194179E-2</v>
      </c>
      <c r="P85" s="4">
        <f t="shared" ca="1" si="14"/>
        <v>1.041405846212636E-2</v>
      </c>
      <c r="Q85" s="4">
        <f t="shared" ca="1" si="15"/>
        <v>1.1825821442603768E-2</v>
      </c>
      <c r="R85" s="4" cm="1">
        <f t="array" aca="1" ref="R85" ca="1">_xlfn._xlws.SORT(SUMPRODUCT($U$2:$W$2,O85:Q85))</f>
        <v>1.5783327091989929E-2</v>
      </c>
      <c r="S85" s="4">
        <f ca="1"/>
        <v>-7.6064626111458479E-3</v>
      </c>
    </row>
    <row r="86" spans="1:19" x14ac:dyDescent="0.25">
      <c r="A86" s="4">
        <f>IFERROR(Merged_data[[#This Row],[BTCUSD_Close]]/Merged_data!D85-1,"")</f>
        <v>4.5690022643158912E-3</v>
      </c>
      <c r="B86" s="4">
        <f>IFERROR(Merged_data[[#This Row],[XAUUSD_Close]]/Merged_data!C85-1, "")</f>
        <v>-1.347903908269843E-2</v>
      </c>
      <c r="C86" s="4">
        <f>IFERROR(Merged_data[[#This Row],[AAPL_Close]]/Merged_data!B85-1,"")</f>
        <v>-1.273090364453322E-2</v>
      </c>
      <c r="D86" s="4">
        <f t="shared" si="8"/>
        <v>-7.840186047144572E-3</v>
      </c>
      <c r="E86">
        <f t="shared" ca="1" si="9"/>
        <v>-0.5091269920392355</v>
      </c>
      <c r="F86">
        <f t="shared" ca="1" si="9"/>
        <v>1.1144893841054135</v>
      </c>
      <c r="G86">
        <f t="shared" ca="1" si="9"/>
        <v>0.30822203583735308</v>
      </c>
      <c r="H86">
        <f ca="1"/>
        <v>-0.5091269920392355</v>
      </c>
      <c r="I86">
        <f ca="1"/>
        <v>1.0862212692508373</v>
      </c>
      <c r="J86">
        <f ca="1"/>
        <v>0.15507552453789519</v>
      </c>
      <c r="K86">
        <v>84</v>
      </c>
      <c r="L86">
        <f t="shared" ca="1" si="10"/>
        <v>108488.60824824312</v>
      </c>
      <c r="M86">
        <f t="shared" ca="1" si="11"/>
        <v>4175.703966068143</v>
      </c>
      <c r="N86">
        <f t="shared" ca="1" si="12"/>
        <v>262.11768098454945</v>
      </c>
      <c r="O86" s="4">
        <f t="shared" ca="1" si="13"/>
        <v>-4.8846426855223828E-2</v>
      </c>
      <c r="P86" s="4">
        <f t="shared" ca="1" si="14"/>
        <v>1.9608767535870774E-2</v>
      </c>
      <c r="Q86" s="4">
        <f t="shared" ca="1" si="15"/>
        <v>-2.8732049301923794E-2</v>
      </c>
      <c r="R86" s="4" cm="1">
        <f t="array" aca="1" ref="R86" ca="1">_xlfn._xlws.SORT(SUMPRODUCT($U$2:$W$2,O86:Q86))</f>
        <v>-1.5430035832795974E-2</v>
      </c>
      <c r="S86" s="4">
        <f ca="1"/>
        <v>-7.4104107137531868E-3</v>
      </c>
    </row>
    <row r="87" spans="1:19" x14ac:dyDescent="0.25">
      <c r="A87" s="4">
        <f>IFERROR(Merged_data[[#This Row],[BTCUSD_Close]]/Merged_data!D86-1,"")</f>
        <v>-5.6285422170214705E-3</v>
      </c>
      <c r="B87" s="4">
        <f>IFERROR(Merged_data[[#This Row],[XAUUSD_Close]]/Merged_data!C86-1, "")</f>
        <v>-7.6901152909035764E-3</v>
      </c>
      <c r="C87" s="4">
        <f>IFERROR(Merged_data[[#This Row],[AAPL_Close]]/Merged_data!B86-1,"")</f>
        <v>1.913190054782965E-2</v>
      </c>
      <c r="D87" s="4">
        <f t="shared" si="8"/>
        <v>9.7496138288102364E-4</v>
      </c>
      <c r="E87">
        <f t="shared" ca="1" si="9"/>
        <v>-0.5302424184155019</v>
      </c>
      <c r="F87">
        <f t="shared" ca="1" si="9"/>
        <v>-0.93929486295767128</v>
      </c>
      <c r="G87">
        <f t="shared" ca="1" si="9"/>
        <v>1.1046738367954294</v>
      </c>
      <c r="H87">
        <f ca="1"/>
        <v>-0.5302424184155019</v>
      </c>
      <c r="I87">
        <f ca="1"/>
        <v>-0.96583890999700084</v>
      </c>
      <c r="J87">
        <f ca="1"/>
        <v>0.92326209693746808</v>
      </c>
      <c r="K87">
        <v>85</v>
      </c>
      <c r="L87">
        <f t="shared" ca="1" si="10"/>
        <v>108426.36422103342</v>
      </c>
      <c r="M87">
        <f t="shared" ca="1" si="11"/>
        <v>4072.477188056359</v>
      </c>
      <c r="N87">
        <f t="shared" ca="1" si="12"/>
        <v>266.30032371872454</v>
      </c>
      <c r="O87" s="4">
        <f t="shared" ca="1" si="13"/>
        <v>-5.7390255923366778E-4</v>
      </c>
      <c r="P87" s="4">
        <f t="shared" ca="1" si="14"/>
        <v>-2.5031498697153078E-2</v>
      </c>
      <c r="Q87" s="4">
        <f t="shared" ca="1" si="15"/>
        <v>1.5831141455556846E-2</v>
      </c>
      <c r="R87" s="4" cm="1">
        <f t="array" aca="1" ref="R87" ca="1">_xlfn._xlws.SORT(SUMPRODUCT($U$2:$W$2,O87:Q87))</f>
        <v>-5.4354278099642793E-3</v>
      </c>
      <c r="S87" s="4">
        <f ca="1"/>
        <v>-7.255127180623407E-3</v>
      </c>
    </row>
    <row r="88" spans="1:19" x14ac:dyDescent="0.25">
      <c r="A88" s="4">
        <f>IFERROR(Merged_data[[#This Row],[BTCUSD_Close]]/Merged_data!D87-1,"")</f>
        <v>2.9080582871637617E-2</v>
      </c>
      <c r="B88" s="4">
        <f>IFERROR(Merged_data[[#This Row],[XAUUSD_Close]]/Merged_data!C87-1, "")</f>
        <v>1.3266455220678486E-2</v>
      </c>
      <c r="C88" s="4">
        <f>IFERROR(Merged_data[[#This Row],[AAPL_Close]]/Merged_data!B87-1,"")</f>
        <v>-1.5754217664571635E-2</v>
      </c>
      <c r="D88" s="4">
        <f t="shared" si="8"/>
        <v>9.3044916503911869E-3</v>
      </c>
      <c r="E88">
        <f t="shared" ca="1" si="9"/>
        <v>0.5225059262018773</v>
      </c>
      <c r="F88">
        <f t="shared" ca="1" si="9"/>
        <v>-7.8987759467329416E-2</v>
      </c>
      <c r="G88">
        <f t="shared" ca="1" si="9"/>
        <v>-1.0969308489587952</v>
      </c>
      <c r="H88">
        <f ca="1"/>
        <v>0.5225059262018773</v>
      </c>
      <c r="I88">
        <f ca="1"/>
        <v>-5.1445429304602608E-2</v>
      </c>
      <c r="J88">
        <f ca="1"/>
        <v>-0.91434983577000573</v>
      </c>
      <c r="K88">
        <v>86</v>
      </c>
      <c r="L88">
        <f t="shared" ca="1" si="10"/>
        <v>111565.20138666651</v>
      </c>
      <c r="M88">
        <f t="shared" ca="1" si="11"/>
        <v>4118.1540160538216</v>
      </c>
      <c r="N88">
        <f t="shared" ca="1" si="12"/>
        <v>256.40326656987719</v>
      </c>
      <c r="O88" s="4">
        <f t="shared" ca="1" si="13"/>
        <v>2.8537913985608544E-2</v>
      </c>
      <c r="P88" s="4">
        <f t="shared" ca="1" si="14"/>
        <v>1.1153548580303539E-2</v>
      </c>
      <c r="Q88" s="4">
        <f t="shared" ca="1" si="15"/>
        <v>-3.7873243338351167E-2</v>
      </c>
      <c r="R88" s="4" cm="1">
        <f t="array" aca="1" ref="R88" ca="1">_xlfn._xlws.SORT(SUMPRODUCT($U$2:$W$2,O88:Q88))</f>
        <v>1.6608206262986262E-3</v>
      </c>
      <c r="S88" s="4">
        <f ca="1"/>
        <v>-7.1294743665000736E-3</v>
      </c>
    </row>
    <row r="89" spans="1:19" x14ac:dyDescent="0.25">
      <c r="A89" s="4">
        <f>IFERROR(Merged_data[[#This Row],[BTCUSD_Close]]/Merged_data!D88-1,"")</f>
        <v>1.0188877132837559E-2</v>
      </c>
      <c r="B89" s="4">
        <f>IFERROR(Merged_data[[#This Row],[XAUUSD_Close]]/Merged_data!C88-1, "")</f>
        <v>8.7008524553893185E-3</v>
      </c>
      <c r="C89" s="4">
        <f>IFERROR(Merged_data[[#This Row],[AAPL_Close]]/Merged_data!B88-1,"")</f>
        <v>-8.8224173423517849E-3</v>
      </c>
      <c r="D89" s="4">
        <f t="shared" si="8"/>
        <v>3.8902789193014601E-3</v>
      </c>
      <c r="E89">
        <f t="shared" ca="1" si="9"/>
        <v>-2.0429896848286715</v>
      </c>
      <c r="F89">
        <f t="shared" ca="1" si="9"/>
        <v>-1.505303929316262</v>
      </c>
      <c r="G89">
        <f t="shared" ca="1" si="9"/>
        <v>1.639096162641257</v>
      </c>
      <c r="H89">
        <f ca="1"/>
        <v>-2.0429896848286715</v>
      </c>
      <c r="I89">
        <f ca="1"/>
        <v>-1.6104918164803843</v>
      </c>
      <c r="J89">
        <f ca="1"/>
        <v>1.0303993480771898</v>
      </c>
      <c r="K89">
        <v>87</v>
      </c>
      <c r="L89">
        <f t="shared" ca="1" si="10"/>
        <v>104069.46717944626</v>
      </c>
      <c r="M89">
        <f t="shared" ca="1" si="11"/>
        <v>4040.5763106265481</v>
      </c>
      <c r="N89">
        <f t="shared" ca="1" si="12"/>
        <v>266.88852322203422</v>
      </c>
      <c r="O89" s="4">
        <f t="shared" ca="1" si="13"/>
        <v>-6.9550555982832371E-2</v>
      </c>
      <c r="P89" s="4">
        <f t="shared" ca="1" si="14"/>
        <v>-1.9017675654684013E-2</v>
      </c>
      <c r="Q89" s="4">
        <f t="shared" ca="1" si="15"/>
        <v>4.0079590096336756E-2</v>
      </c>
      <c r="R89" s="4" cm="1">
        <f t="array" aca="1" ref="R89" ca="1">_xlfn._xlws.SORT(SUMPRODUCT($U$2:$W$2,O89:Q89))</f>
        <v>-1.6448360027822292E-2</v>
      </c>
      <c r="S89" s="4">
        <f ca="1"/>
        <v>-6.9819200621554934E-3</v>
      </c>
    </row>
    <row r="90" spans="1:19" x14ac:dyDescent="0.25">
      <c r="A90" s="4">
        <f>IFERROR(Merged_data[[#This Row],[BTCUSD_Close]]/Merged_data!D89-1,"")</f>
        <v>3.4188268735800165E-2</v>
      </c>
      <c r="B90" s="4">
        <f>IFERROR(Merged_data[[#This Row],[XAUUSD_Close]]/Merged_data!C89-1, "")</f>
        <v>4.0438795198083355E-4</v>
      </c>
      <c r="C90" s="4">
        <f>IFERROR(Merged_data[[#This Row],[AAPL_Close]]/Merged_data!B89-1,"")</f>
        <v>-8.053236129360597E-4</v>
      </c>
      <c r="D90" s="4">
        <f t="shared" si="8"/>
        <v>1.0176638717651565E-2</v>
      </c>
      <c r="E90">
        <f t="shared" ca="1" si="9"/>
        <v>-0.58648321434208173</v>
      </c>
      <c r="F90">
        <f t="shared" ca="1" si="9"/>
        <v>9.309742477330088E-2</v>
      </c>
      <c r="G90">
        <f t="shared" ca="1" si="9"/>
        <v>1.3216431965749047</v>
      </c>
      <c r="H90">
        <f ca="1"/>
        <v>-0.58648321434208173</v>
      </c>
      <c r="I90">
        <f ca="1"/>
        <v>6.2176602705581743E-2</v>
      </c>
      <c r="J90">
        <f ca="1"/>
        <v>1.1133181417925908</v>
      </c>
      <c r="K90">
        <v>88</v>
      </c>
      <c r="L90">
        <f t="shared" ca="1" si="10"/>
        <v>108260.69808849665</v>
      </c>
      <c r="M90">
        <f t="shared" ca="1" si="11"/>
        <v>4123.8631507631253</v>
      </c>
      <c r="N90">
        <f t="shared" ca="1" si="12"/>
        <v>267.34477643346946</v>
      </c>
      <c r="O90" s="4">
        <f t="shared" ca="1" si="13"/>
        <v>3.9483559798687298E-2</v>
      </c>
      <c r="P90" s="4">
        <f t="shared" ca="1" si="14"/>
        <v>2.0403049042499437E-2</v>
      </c>
      <c r="Q90" s="4">
        <f t="shared" ca="1" si="15"/>
        <v>1.7080677024655837E-3</v>
      </c>
      <c r="R90" s="4" cm="1">
        <f t="array" aca="1" ref="R90" ca="1">_xlfn._xlws.SORT(SUMPRODUCT($U$2:$W$2,O90:Q90))</f>
        <v>2.051870786734564E-2</v>
      </c>
      <c r="S90" s="4">
        <f ca="1"/>
        <v>-6.7209874488548746E-3</v>
      </c>
    </row>
    <row r="91" spans="1:19" x14ac:dyDescent="0.25">
      <c r="A91" s="4">
        <f>IFERROR(Merged_data[[#This Row],[BTCUSD_Close]]/Merged_data!D90-1,"")</f>
        <v>-1.6517979057324439E-3</v>
      </c>
      <c r="B91" s="4">
        <f>IFERROR(Merged_data[[#This Row],[XAUUSD_Close]]/Merged_data!C90-1, "")</f>
        <v>-2.7507819003347311E-3</v>
      </c>
      <c r="C91" s="4">
        <f>IFERROR(Merged_data[[#This Row],[AAPL_Close]]/Merged_data!B90-1,"")</f>
        <v>-1.7392042080257575E-3</v>
      </c>
      <c r="D91" s="4">
        <f t="shared" si="8"/>
        <v>-2.1176133942613527E-3</v>
      </c>
      <c r="E91">
        <f t="shared" ca="1" si="9"/>
        <v>0.33038157249926642</v>
      </c>
      <c r="F91">
        <f t="shared" ca="1" si="9"/>
        <v>-0.32751097274528096</v>
      </c>
      <c r="G91">
        <f t="shared" ca="1" si="9"/>
        <v>1.8871738654252672</v>
      </c>
      <c r="H91">
        <f ca="1"/>
        <v>0.33038157249926642</v>
      </c>
      <c r="I91">
        <f ca="1"/>
        <v>-0.30971306398510251</v>
      </c>
      <c r="J91">
        <f ca="1"/>
        <v>1.9073023837542631</v>
      </c>
      <c r="K91">
        <v>89</v>
      </c>
      <c r="L91">
        <f t="shared" ca="1" si="10"/>
        <v>110985.14683881722</v>
      </c>
      <c r="M91">
        <f t="shared" ca="1" si="11"/>
        <v>4105.1970421240994</v>
      </c>
      <c r="N91">
        <f t="shared" ca="1" si="12"/>
        <v>271.75527667760207</v>
      </c>
      <c r="O91" s="4">
        <f t="shared" ca="1" si="13"/>
        <v>2.4854190488934287E-2</v>
      </c>
      <c r="P91" s="4">
        <f t="shared" ca="1" si="14"/>
        <v>-4.5366397171906015E-3</v>
      </c>
      <c r="Q91" s="4">
        <f t="shared" ca="1" si="15"/>
        <v>1.6362820313394279E-2</v>
      </c>
      <c r="R91" s="4" cm="1">
        <f t="array" aca="1" ref="R91" ca="1">_xlfn._xlws.SORT(SUMPRODUCT($U$2:$W$2,O91:Q91))</f>
        <v>1.0550447353822328E-2</v>
      </c>
      <c r="S91" s="4">
        <f ca="1"/>
        <v>-6.4689707573206082E-3</v>
      </c>
    </row>
    <row r="92" spans="1:19" x14ac:dyDescent="0.25">
      <c r="A92" s="4">
        <f>IFERROR(Merged_data[[#This Row],[BTCUSD_Close]]/Merged_data!D91-1,"")</f>
        <v>-2.8715080705445817E-2</v>
      </c>
      <c r="B92" s="4">
        <f>IFERROR(Merged_data[[#This Row],[XAUUSD_Close]]/Merged_data!C91-1, "")</f>
        <v>-6.1144431391124687E-4</v>
      </c>
      <c r="C92" s="4">
        <f>IFERROR(Merged_data[[#This Row],[AAPL_Close]]/Merged_data!B91-1,"")</f>
        <v>1.589257638210162E-2</v>
      </c>
      <c r="D92" s="4">
        <f t="shared" si="8"/>
        <v>-4.0913290225677579E-3</v>
      </c>
      <c r="E92">
        <f t="shared" ca="1" si="9"/>
        <v>1.0224880222377413</v>
      </c>
      <c r="F92">
        <f t="shared" ca="1" si="9"/>
        <v>-0.51885874547546296</v>
      </c>
      <c r="G92">
        <f t="shared" ca="1" si="9"/>
        <v>-0.34562389205321881</v>
      </c>
      <c r="H92">
        <f ca="1"/>
        <v>1.0224880222377413</v>
      </c>
      <c r="I92">
        <f ca="1"/>
        <v>-0.46445891326194794</v>
      </c>
      <c r="J92">
        <f ca="1"/>
        <v>-5.4253714861940583E-2</v>
      </c>
      <c r="K92">
        <v>90</v>
      </c>
      <c r="L92">
        <f t="shared" ca="1" si="10"/>
        <v>113087.00791576636</v>
      </c>
      <c r="M92">
        <f t="shared" ca="1" si="11"/>
        <v>4097.4541458495996</v>
      </c>
      <c r="N92">
        <f t="shared" ca="1" si="12"/>
        <v>260.98795687023215</v>
      </c>
      <c r="O92" s="4">
        <f t="shared" ca="1" si="13"/>
        <v>1.8761123888309427E-2</v>
      </c>
      <c r="P92" s="4">
        <f t="shared" ca="1" si="14"/>
        <v>-1.8879014593728013E-3</v>
      </c>
      <c r="Q92" s="4">
        <f t="shared" ca="1" si="15"/>
        <v>-4.0427679211223713E-2</v>
      </c>
      <c r="R92" s="4" cm="1">
        <f t="array" aca="1" ref="R92" ca="1">_xlfn._xlws.SORT(SUMPRODUCT($U$2:$W$2,O92:Q92))</f>
        <v>-7.255127180623407E-3</v>
      </c>
      <c r="S92" s="4">
        <f ca="1"/>
        <v>-6.4332222707649336E-3</v>
      </c>
    </row>
    <row r="93" spans="1:19" x14ac:dyDescent="0.25">
      <c r="A93" s="4">
        <f>IFERROR(Merged_data[[#This Row],[BTCUSD_Close]]/Merged_data!D92-1,"")</f>
        <v>-9.4080584142678947E-2</v>
      </c>
      <c r="B93" s="4">
        <f>IFERROR(Merged_data[[#This Row],[XAUUSD_Close]]/Merged_data!C92-1, "")</f>
        <v>-8.3798498638876229E-3</v>
      </c>
      <c r="C93" s="4">
        <f>IFERROR(Merged_data[[#This Row],[AAPL_Close]]/Merged_data!B92-1,"")</f>
        <v>-4.8479524825364995E-2</v>
      </c>
      <c r="D93" s="4">
        <f t="shared" si="8"/>
        <v>-4.6119972635968232E-2</v>
      </c>
      <c r="E93">
        <f t="shared" ca="1" si="9"/>
        <v>0.86306307622528711</v>
      </c>
      <c r="F93">
        <f t="shared" ca="1" si="9"/>
        <v>0.3561022697054505</v>
      </c>
      <c r="G93">
        <f t="shared" ca="1" si="9"/>
        <v>-1.1764425356149852</v>
      </c>
      <c r="H93">
        <f ca="1"/>
        <v>0.86306307622528711</v>
      </c>
      <c r="I93">
        <f ca="1"/>
        <v>0.40092493730361684</v>
      </c>
      <c r="J93">
        <f ca="1"/>
        <v>-0.90026426844517971</v>
      </c>
      <c r="K93">
        <v>91</v>
      </c>
      <c r="L93">
        <f t="shared" ca="1" si="10"/>
        <v>112599.14377263568</v>
      </c>
      <c r="M93">
        <f t="shared" ca="1" si="11"/>
        <v>4140.9348265666486</v>
      </c>
      <c r="N93">
        <f t="shared" ca="1" si="12"/>
        <v>256.47661682281193</v>
      </c>
      <c r="O93" s="4">
        <f t="shared" ca="1" si="13"/>
        <v>-4.3233924580578214E-3</v>
      </c>
      <c r="P93" s="4">
        <f t="shared" ca="1" si="14"/>
        <v>1.0555725055486851E-2</v>
      </c>
      <c r="Q93" s="4">
        <f t="shared" ca="1" si="15"/>
        <v>-1.7436766027351246E-2</v>
      </c>
      <c r="R93" s="4" cm="1">
        <f t="array" aca="1" ref="R93" ca="1">_xlfn._xlws.SORT(SUMPRODUCT($U$2:$W$2,O93:Q93))</f>
        <v>-2.3057575234279783E-3</v>
      </c>
      <c r="S93" s="4">
        <f ca="1"/>
        <v>-6.3582839578925771E-3</v>
      </c>
    </row>
    <row r="94" spans="1:19" x14ac:dyDescent="0.25">
      <c r="A94" s="4">
        <f>IFERROR(Merged_data[[#This Row],[BTCUSD_Close]]/Merged_data!D93-1,"")</f>
        <v>4.6044657679416678E-2</v>
      </c>
      <c r="B94" s="4">
        <f>IFERROR(Merged_data[[#This Row],[XAUUSD_Close]]/Merged_data!C93-1, "")</f>
        <v>1.1275641425590566E-2</v>
      </c>
      <c r="C94" s="4">
        <f>IFERROR(Merged_data[[#This Row],[AAPL_Close]]/Merged_data!B93-1,"")</f>
        <v>-2.9189379286091E-2</v>
      </c>
      <c r="D94" s="4">
        <f t="shared" si="8"/>
        <v>9.5668400882339289E-3</v>
      </c>
      <c r="E94">
        <f t="shared" ca="1" si="9"/>
        <v>-0.5483140453183194</v>
      </c>
      <c r="F94">
        <f t="shared" ca="1" si="9"/>
        <v>-2.0211348242526617</v>
      </c>
      <c r="G94">
        <f t="shared" ca="1" si="9"/>
        <v>0.41705768208167193</v>
      </c>
      <c r="H94">
        <f ca="1"/>
        <v>-0.5483140453183194</v>
      </c>
      <c r="I94">
        <f ca="1"/>
        <v>-2.047135556763426</v>
      </c>
      <c r="J94">
        <f ca="1"/>
        <v>0.26018358779810291</v>
      </c>
      <c r="K94">
        <v>92</v>
      </c>
      <c r="L94">
        <f t="shared" ca="1" si="10"/>
        <v>108372.13842857748</v>
      </c>
      <c r="M94">
        <f t="shared" ca="1" si="11"/>
        <v>4019.1065333850011</v>
      </c>
      <c r="N94">
        <f t="shared" ca="1" si="12"/>
        <v>262.68431171878109</v>
      </c>
      <c r="O94" s="4">
        <f t="shared" ca="1" si="13"/>
        <v>-3.8263081123832768E-2</v>
      </c>
      <c r="P94" s="4">
        <f t="shared" ca="1" si="14"/>
        <v>-2.9861943314281967E-2</v>
      </c>
      <c r="Q94" s="4">
        <f t="shared" ca="1" si="15"/>
        <v>2.3915477556758918E-2</v>
      </c>
      <c r="R94" s="4" cm="1">
        <f t="array" aca="1" ref="R94" ca="1">_xlfn._xlws.SORT(SUMPRODUCT($U$2:$W$2,O94:Q94))</f>
        <v>-1.6249058395834941E-2</v>
      </c>
      <c r="S94" s="4">
        <f ca="1"/>
        <v>-6.3436761459231654E-3</v>
      </c>
    </row>
    <row r="95" spans="1:19" x14ac:dyDescent="0.25">
      <c r="A95" s="4">
        <f>IFERROR(Merged_data[[#This Row],[BTCUSD_Close]]/Merged_data!D94-1,"")</f>
        <v>6.2891265610016678E-3</v>
      </c>
      <c r="B95" s="4">
        <f>IFERROR(Merged_data[[#This Row],[XAUUSD_Close]]/Merged_data!C94-1, "")</f>
        <v>7.0779534603135907E-3</v>
      </c>
      <c r="C95" s="4">
        <f>IFERROR(Merged_data[[#This Row],[AAPL_Close]]/Merged_data!B94-1,"")</f>
        <v>-1.7478717623618967E-2</v>
      </c>
      <c r="D95" s="4">
        <f t="shared" si="8"/>
        <v>-5.2569593465975287E-4</v>
      </c>
      <c r="E95">
        <f t="shared" ca="1" si="9"/>
        <v>-0.892753872161548</v>
      </c>
      <c r="F95">
        <f t="shared" ca="1" si="9"/>
        <v>-0.61028259681045416</v>
      </c>
      <c r="G95">
        <f t="shared" ca="1" si="9"/>
        <v>1.3565365165070196</v>
      </c>
      <c r="H95">
        <f ca="1"/>
        <v>-0.892753872161548</v>
      </c>
      <c r="I95">
        <f ca="1"/>
        <v>-0.65631355423563231</v>
      </c>
      <c r="J95">
        <f ca="1"/>
        <v>1.0664918686560847</v>
      </c>
      <c r="K95">
        <v>93</v>
      </c>
      <c r="L95">
        <f t="shared" ca="1" si="10"/>
        <v>107364.75828914388</v>
      </c>
      <c r="M95">
        <f t="shared" ca="1" si="11"/>
        <v>4087.8725903653653</v>
      </c>
      <c r="N95">
        <f t="shared" ca="1" si="12"/>
        <v>267.08575563198633</v>
      </c>
      <c r="O95" s="4">
        <f t="shared" ca="1" si="13"/>
        <v>-9.3390372859186842E-3</v>
      </c>
      <c r="P95" s="4">
        <f t="shared" ca="1" si="14"/>
        <v>1.6965063123662034E-2</v>
      </c>
      <c r="Q95" s="4">
        <f t="shared" ca="1" si="15"/>
        <v>1.6616813446710343E-2</v>
      </c>
      <c r="R95" s="4" cm="1">
        <f t="array" aca="1" ref="R95" ca="1">_xlfn._xlws.SORT(SUMPRODUCT($U$2:$W$2,O95:Q95))</f>
        <v>8.9693580977023117E-3</v>
      </c>
      <c r="S95" s="4">
        <f ca="1"/>
        <v>-6.3180855208275905E-3</v>
      </c>
    </row>
    <row r="96" spans="1:19" x14ac:dyDescent="0.25">
      <c r="A96" s="4">
        <f>IFERROR(Merged_data[[#This Row],[BTCUSD_Close]]/Merged_data!D95-1,"")</f>
        <v>-2.716705087858573E-2</v>
      </c>
      <c r="B96" s="4">
        <f>IFERROR(Merged_data[[#This Row],[XAUUSD_Close]]/Merged_data!C95-1, "")</f>
        <v>1.6733261633130825E-2</v>
      </c>
      <c r="C96" s="4">
        <f>IFERROR(Merged_data[[#This Row],[AAPL_Close]]/Merged_data!B95-1,"")</f>
        <v>-3.364365379297618E-2</v>
      </c>
      <c r="D96" s="4">
        <f t="shared" si="8"/>
        <v>-1.1549906748216241E-2</v>
      </c>
      <c r="E96">
        <f t="shared" ca="1" si="9"/>
        <v>0.15049144231804257</v>
      </c>
      <c r="F96">
        <f t="shared" ca="1" si="9"/>
        <v>-0.55108267485781115</v>
      </c>
      <c r="G96">
        <f t="shared" ca="1" si="9"/>
        <v>-2.7890943962415725E-2</v>
      </c>
      <c r="H96">
        <f ca="1"/>
        <v>0.15049144231804257</v>
      </c>
      <c r="I96">
        <f ca="1"/>
        <v>-0.54242126265614998</v>
      </c>
      <c r="J96">
        <f ca="1"/>
        <v>1.5791768685435928E-2</v>
      </c>
      <c r="K96">
        <v>94</v>
      </c>
      <c r="L96">
        <f t="shared" ca="1" si="10"/>
        <v>110444.40647499103</v>
      </c>
      <c r="M96">
        <f t="shared" ca="1" si="11"/>
        <v>4093.5544629837495</v>
      </c>
      <c r="N96">
        <f t="shared" ca="1" si="12"/>
        <v>261.36410136369841</v>
      </c>
      <c r="O96" s="4">
        <f t="shared" ca="1" si="13"/>
        <v>2.828029241622116E-2</v>
      </c>
      <c r="P96" s="4">
        <f t="shared" ca="1" si="14"/>
        <v>1.3889688179839013E-3</v>
      </c>
      <c r="Q96" s="4">
        <f t="shared" ca="1" si="15"/>
        <v>-2.1655329412407835E-2</v>
      </c>
      <c r="R96" s="4" cm="1">
        <f t="array" aca="1" ref="R96" ca="1">_xlfn._xlws.SORT(SUMPRODUCT($U$2:$W$2,O96:Q96))</f>
        <v>2.5430764283375581E-3</v>
      </c>
      <c r="S96" s="4">
        <f ca="1"/>
        <v>-6.1983877543508158E-3</v>
      </c>
    </row>
    <row r="97" spans="1:19" x14ac:dyDescent="0.25">
      <c r="A97" s="4">
        <f>IFERROR(Merged_data[[#This Row],[BTCUSD_Close]]/Merged_data!D96-1,"")</f>
        <v>3.4230841556838865E-2</v>
      </c>
      <c r="B97" s="4">
        <f>IFERROR(Merged_data[[#This Row],[XAUUSD_Close]]/Merged_data!C96-1, "")</f>
        <v>-7.6322462403644042E-4</v>
      </c>
      <c r="C97" s="4">
        <f>IFERROR(Merged_data[[#This Row],[AAPL_Close]]/Merged_data!B96-1,"")</f>
        <v>1.8170545593285015E-2</v>
      </c>
      <c r="D97" s="4">
        <f t="shared" si="8"/>
        <v>1.5415126295422587E-2</v>
      </c>
      <c r="E97">
        <f t="shared" ca="1" si="9"/>
        <v>-0.7132207711444829</v>
      </c>
      <c r="F97">
        <f t="shared" ca="1" si="9"/>
        <v>-0.81040424345720574</v>
      </c>
      <c r="G97">
        <f t="shared" ca="1" si="9"/>
        <v>0.31019348935863994</v>
      </c>
      <c r="H97">
        <f ca="1"/>
        <v>-0.7132207711444829</v>
      </c>
      <c r="I97">
        <f ca="1"/>
        <v>-0.84673306652639624</v>
      </c>
      <c r="J97">
        <f ca="1"/>
        <v>0.10846309052071557</v>
      </c>
      <c r="K97">
        <v>95</v>
      </c>
      <c r="L97">
        <f t="shared" ca="1" si="10"/>
        <v>107888.26180474096</v>
      </c>
      <c r="M97">
        <f t="shared" ca="1" si="11"/>
        <v>4078.386053937189</v>
      </c>
      <c r="N97">
        <f t="shared" ca="1" si="12"/>
        <v>261.86353850374985</v>
      </c>
      <c r="O97" s="4">
        <f t="shared" ca="1" si="13"/>
        <v>-2.3416206908724407E-2</v>
      </c>
      <c r="P97" s="4">
        <f t="shared" ca="1" si="14"/>
        <v>-3.7123193530839496E-3</v>
      </c>
      <c r="Q97" s="4">
        <f t="shared" ca="1" si="15"/>
        <v>1.9090631063071158E-3</v>
      </c>
      <c r="R97" s="4" cm="1">
        <f t="array" aca="1" ref="R97" ca="1">_xlfn._xlws.SORT(SUMPRODUCT($U$2:$W$2,O97:Q97))</f>
        <v>-7.9370708819587674E-3</v>
      </c>
      <c r="S97" s="4">
        <f ca="1"/>
        <v>-5.5628002921431028E-3</v>
      </c>
    </row>
    <row r="98" spans="1:19" x14ac:dyDescent="0.25">
      <c r="A98" s="4">
        <f>IFERROR(Merged_data[[#This Row],[BTCUSD_Close]]/Merged_data!D97-1,"")</f>
        <v>-1.0921311888423268E-3</v>
      </c>
      <c r="B98" s="4">
        <f>IFERROR(Merged_data[[#This Row],[XAUUSD_Close]]/Merged_data!C97-1, "")</f>
        <v>5.1054506715977332E-3</v>
      </c>
      <c r="C98" s="4">
        <f>IFERROR(Merged_data[[#This Row],[AAPL_Close]]/Merged_data!B97-1,"")</f>
        <v>2.3888706730994524E-3</v>
      </c>
      <c r="D98" s="4">
        <f t="shared" si="8"/>
        <v>2.431202113916231E-3</v>
      </c>
      <c r="E98">
        <f t="shared" ca="1" si="9"/>
        <v>-0.60610040143578536</v>
      </c>
      <c r="F98">
        <f t="shared" ca="1" si="9"/>
        <v>-0.45251989339152948</v>
      </c>
      <c r="G98">
        <f t="shared" ca="1" si="9"/>
        <v>-0.18105219624178767</v>
      </c>
      <c r="H98">
        <f ca="1"/>
        <v>-0.60610040143578536</v>
      </c>
      <c r="I98">
        <f ca="1"/>
        <v>-0.48371813841049771</v>
      </c>
      <c r="J98">
        <f ca="1"/>
        <v>-0.33671817538577681</v>
      </c>
      <c r="K98">
        <v>96</v>
      </c>
      <c r="L98">
        <f t="shared" ca="1" si="10"/>
        <v>108201.86179373687</v>
      </c>
      <c r="M98">
        <f t="shared" ca="1" si="11"/>
        <v>4096.4843182136738</v>
      </c>
      <c r="N98">
        <f t="shared" ca="1" si="12"/>
        <v>259.47170903703488</v>
      </c>
      <c r="O98" s="4">
        <f t="shared" ca="1" si="13"/>
        <v>2.9024946067242015E-3</v>
      </c>
      <c r="P98" s="4">
        <f t="shared" ca="1" si="14"/>
        <v>4.4277873583472354E-3</v>
      </c>
      <c r="Q98" s="4">
        <f t="shared" ca="1" si="15"/>
        <v>-9.1758470576491814E-3</v>
      </c>
      <c r="R98" s="4" cm="1">
        <f t="array" aca="1" ref="R98" ca="1">_xlfn._xlws.SORT(SUMPRODUCT($U$2:$W$2,O98:Q98))</f>
        <v>-1.1089079193859954E-4</v>
      </c>
      <c r="S98" s="4">
        <f ca="1"/>
        <v>-5.4748055863804808E-3</v>
      </c>
    </row>
    <row r="99" spans="1:19" x14ac:dyDescent="0.25">
      <c r="A99" s="4">
        <f>IFERROR(Merged_data[[#This Row],[BTCUSD_Close]]/Merged_data!D98-1,"")</f>
        <v>-2.0049848017083982E-2</v>
      </c>
      <c r="B99" s="4">
        <f>IFERROR(Merged_data[[#This Row],[XAUUSD_Close]]/Merged_data!C98-1, "")</f>
        <v>1.1420581711404143E-2</v>
      </c>
      <c r="C99" s="4">
        <f>IFERROR(Merged_data[[#This Row],[AAPL_Close]]/Merged_data!B98-1,"")</f>
        <v>-6.1214953271028216E-3</v>
      </c>
      <c r="D99" s="4">
        <f t="shared" si="8"/>
        <v>-3.2831703186943827E-3</v>
      </c>
      <c r="E99">
        <f t="shared" ca="1" si="9"/>
        <v>0.76055816241598562</v>
      </c>
      <c r="F99">
        <f t="shared" ca="1" si="9"/>
        <v>1.7939549502951104</v>
      </c>
      <c r="G99">
        <f t="shared" ca="1" si="9"/>
        <v>0.15693956603915721</v>
      </c>
      <c r="H99">
        <f ca="1"/>
        <v>0.76055816241598562</v>
      </c>
      <c r="I99">
        <f ca="1"/>
        <v>1.8314125800392558</v>
      </c>
      <c r="J99">
        <f ca="1"/>
        <v>0.35061989590616444</v>
      </c>
      <c r="K99">
        <v>97</v>
      </c>
      <c r="L99">
        <f t="shared" ca="1" si="10"/>
        <v>112285.68797056907</v>
      </c>
      <c r="M99">
        <f t="shared" ca="1" si="11"/>
        <v>4213.8173880002914</v>
      </c>
      <c r="N99">
        <f t="shared" ca="1" si="12"/>
        <v>263.17325098293975</v>
      </c>
      <c r="O99" s="4">
        <f t="shared" ca="1" si="13"/>
        <v>3.7047835784578209E-2</v>
      </c>
      <c r="P99" s="4">
        <f t="shared" ca="1" si="14"/>
        <v>2.8239857345552691E-2</v>
      </c>
      <c r="Q99" s="4">
        <f t="shared" ca="1" si="15"/>
        <v>1.4164888671627338E-2</v>
      </c>
      <c r="R99" s="4" cm="1">
        <f t="array" aca="1" ref="R99" ca="1">_xlfn._xlws.SORT(SUMPRODUCT($U$2:$W$2,O99:Q99))</f>
        <v>2.6659760275082739E-2</v>
      </c>
      <c r="S99" s="4">
        <f ca="1"/>
        <v>-5.4354278099642793E-3</v>
      </c>
    </row>
    <row r="100" spans="1:19" x14ac:dyDescent="0.25">
      <c r="A100" s="4">
        <f>IFERROR(Merged_data[[#This Row],[BTCUSD_Close]]/Merged_data!D99-1,"")</f>
        <v>4.5874600280198408E-2</v>
      </c>
      <c r="B100" s="4">
        <f>IFERROR(Merged_data[[#This Row],[XAUUSD_Close]]/Merged_data!C99-1, "")</f>
        <v>5.1605674646981736E-3</v>
      </c>
      <c r="C100" s="4">
        <f>IFERROR(Merged_data[[#This Row],[AAPL_Close]]/Merged_data!B99-1,"")</f>
        <v>1.1989280173021921E-2</v>
      </c>
      <c r="D100" s="4">
        <f t="shared" si="8"/>
        <v>1.9423391121845365E-2</v>
      </c>
      <c r="E100">
        <f t="shared" ca="1" si="9"/>
        <v>3.0572179294928566E-2</v>
      </c>
      <c r="F100">
        <f t="shared" ca="1" si="9"/>
        <v>1.778552165475584</v>
      </c>
      <c r="G100">
        <f t="shared" ca="1" si="9"/>
        <v>-2.3373290139329432</v>
      </c>
      <c r="H100">
        <f ca="1"/>
        <v>3.0572179294928566E-2</v>
      </c>
      <c r="I100">
        <f ca="1"/>
        <v>1.777704226670944</v>
      </c>
      <c r="J100">
        <f ca="1"/>
        <v>-2.2480563650050991</v>
      </c>
      <c r="K100">
        <v>98</v>
      </c>
      <c r="L100">
        <f t="shared" ca="1" si="10"/>
        <v>110085.29140169262</v>
      </c>
      <c r="M100">
        <f t="shared" ca="1" si="11"/>
        <v>4211.0563980604156</v>
      </c>
      <c r="N100">
        <f t="shared" ca="1" si="12"/>
        <v>249.44890707369794</v>
      </c>
      <c r="O100" s="4">
        <f t="shared" ca="1" si="13"/>
        <v>-1.9790967292593335E-2</v>
      </c>
      <c r="P100" s="4">
        <f t="shared" ca="1" si="14"/>
        <v>-6.5543772140236008E-4</v>
      </c>
      <c r="Q100" s="4">
        <f t="shared" ca="1" si="15"/>
        <v>-5.3558451329172203E-2</v>
      </c>
      <c r="R100" s="4" cm="1">
        <f t="array" aca="1" ref="R100" ca="1">_xlfn._xlws.SORT(SUMPRODUCT($U$2:$W$2,O100:Q100))</f>
        <v>-2.2267000675090604E-2</v>
      </c>
      <c r="S100" s="4">
        <f ca="1"/>
        <v>-5.3873813852053573E-3</v>
      </c>
    </row>
    <row r="101" spans="1:19" x14ac:dyDescent="0.25">
      <c r="A101" s="4">
        <f>IFERROR(Merged_data[[#This Row],[BTCUSD_Close]]/Merged_data!D100-1,"")</f>
        <v>-2.3865655858635426E-2</v>
      </c>
      <c r="B101" s="4">
        <f>IFERROR(Merged_data[[#This Row],[XAUUSD_Close]]/Merged_data!C100-1, "")</f>
        <v>-1.4425236295205757E-3</v>
      </c>
      <c r="C101" s="4">
        <f>IFERROR(Merged_data[[#This Row],[AAPL_Close]]/Merged_data!B100-1,"")</f>
        <v>-5.2964133060769969E-3</v>
      </c>
      <c r="D101" s="4">
        <f t="shared" si="8"/>
        <v>-9.3256302012219572E-3</v>
      </c>
      <c r="E101">
        <f t="shared" ca="1" si="9"/>
        <v>-1.6086368439382273</v>
      </c>
      <c r="F101">
        <f t="shared" ca="1" si="9"/>
        <v>0.58335987054601834</v>
      </c>
      <c r="G101">
        <f t="shared" ca="1" si="9"/>
        <v>-0.72790534064010415</v>
      </c>
      <c r="H101">
        <f ca="1"/>
        <v>-1.6086368439382273</v>
      </c>
      <c r="I101">
        <f ca="1"/>
        <v>0.49809621476401023</v>
      </c>
      <c r="J101">
        <f ca="1"/>
        <v>-1.1380487447682686</v>
      </c>
      <c r="K101">
        <v>99</v>
      </c>
      <c r="L101">
        <f t="shared" ca="1" si="10"/>
        <v>105300.26876028332</v>
      </c>
      <c r="M101">
        <f t="shared" ca="1" si="11"/>
        <v>4145.8360906538255</v>
      </c>
      <c r="N101">
        <f t="shared" ca="1" si="12"/>
        <v>255.22105167860869</v>
      </c>
      <c r="O101" s="4">
        <f t="shared" ca="1" si="13"/>
        <v>-4.4439470256423912E-2</v>
      </c>
      <c r="P101" s="4">
        <f t="shared" ca="1" si="14"/>
        <v>-1.5609063224027353E-2</v>
      </c>
      <c r="Q101" s="4">
        <f t="shared" ca="1" si="15"/>
        <v>2.2875926018803602E-2</v>
      </c>
      <c r="R101" s="4" cm="1">
        <f t="array" aca="1" ref="R101" ca="1">_xlfn._xlws.SORT(SUMPRODUCT($U$2:$W$2,O101:Q101))</f>
        <v>-1.2712688560897035E-2</v>
      </c>
      <c r="S101" s="4">
        <f ca="1"/>
        <v>-5.3350359066514363E-3</v>
      </c>
    </row>
    <row r="102" spans="1:19" x14ac:dyDescent="0.25">
      <c r="A102" s="4">
        <f>IFERROR(Merged_data[[#This Row],[BTCUSD_Close]]/Merged_data!D101-1,"")</f>
        <v>9.263564462635987E-4</v>
      </c>
      <c r="B102" s="4">
        <f>IFERROR(Merged_data[[#This Row],[XAUUSD_Close]]/Merged_data!C101-1, "")</f>
        <v>-7.2131879532866261E-3</v>
      </c>
      <c r="C102" s="4">
        <f>IFERROR(Merged_data[[#This Row],[AAPL_Close]]/Merged_data!B101-1,"")</f>
        <v>1.9476879962634364E-2</v>
      </c>
      <c r="D102" s="4">
        <f t="shared" si="8"/>
        <v>3.2356957413547383E-3</v>
      </c>
      <c r="E102">
        <f t="shared" ca="1" si="9"/>
        <v>-0.19844668444774061</v>
      </c>
      <c r="F102">
        <f t="shared" ca="1" si="9"/>
        <v>1.777481303060696</v>
      </c>
      <c r="G102">
        <f t="shared" ca="1" si="9"/>
        <v>0.82092239162856695</v>
      </c>
      <c r="H102">
        <f ca="1"/>
        <v>-0.19844668444774061</v>
      </c>
      <c r="I102">
        <f ca="1"/>
        <v>1.7646105512477923</v>
      </c>
      <c r="J102">
        <f ca="1"/>
        <v>0.7303993025400628</v>
      </c>
      <c r="K102">
        <v>100</v>
      </c>
      <c r="L102">
        <f t="shared" ca="1" si="10"/>
        <v>109403.61389946575</v>
      </c>
      <c r="M102">
        <f t="shared" ca="1" si="11"/>
        <v>4210.3813554030967</v>
      </c>
      <c r="N102">
        <f t="shared" ca="1" si="12"/>
        <v>265.24053552246158</v>
      </c>
      <c r="O102" s="4">
        <f t="shared" ca="1" si="13"/>
        <v>3.8227951792184897E-2</v>
      </c>
      <c r="P102" s="4">
        <f t="shared" ca="1" si="14"/>
        <v>1.5448747924306208E-2</v>
      </c>
      <c r="Q102" s="4">
        <f t="shared" ca="1" si="15"/>
        <v>3.8507056537481703E-2</v>
      </c>
      <c r="R102" s="4" cm="1">
        <f t="array" aca="1" ref="R102" ca="1">_xlfn._xlws.SORT(SUMPRODUCT($U$2:$W$2,O102:Q102))</f>
        <v>2.9200001668622459E-2</v>
      </c>
      <c r="S102" s="4">
        <f ca="1"/>
        <v>-4.9471274706954175E-3</v>
      </c>
    </row>
    <row r="103" spans="1:19" x14ac:dyDescent="0.25">
      <c r="A103" s="4">
        <f>IFERROR(Merged_data[[#This Row],[BTCUSD_Close]]/Merged_data!D102-1,"")</f>
        <v>3.8804430990319716E-2</v>
      </c>
      <c r="B103" s="4">
        <f>IFERROR(Merged_data[[#This Row],[XAUUSD_Close]]/Merged_data!C102-1, "")</f>
        <v>-4.061061431821833E-3</v>
      </c>
      <c r="C103" s="4">
        <f>IFERROR(Merged_data[[#This Row],[AAPL_Close]]/Merged_data!B102-1,"")</f>
        <v>1.1270444861868123E-2</v>
      </c>
      <c r="D103" s="4">
        <f t="shared" si="8"/>
        <v>1.3398038182927619E-2</v>
      </c>
      <c r="E103">
        <f t="shared" ca="1" si="9"/>
        <v>-0.97045775686988855</v>
      </c>
      <c r="F103">
        <f t="shared" ca="1" si="9"/>
        <v>-1.2462138299837782</v>
      </c>
      <c r="G103">
        <f t="shared" ca="1" si="9"/>
        <v>1.3715806186500097</v>
      </c>
      <c r="H103">
        <f ca="1"/>
        <v>-0.97045775686988855</v>
      </c>
      <c r="I103">
        <f ca="1"/>
        <v>-1.2954473984797004</v>
      </c>
      <c r="J103">
        <f ca="1"/>
        <v>1.0621674714228697</v>
      </c>
      <c r="K103">
        <v>101</v>
      </c>
      <c r="L103">
        <f t="shared" ca="1" si="10"/>
        <v>107137.56687906529</v>
      </c>
      <c r="M103">
        <f t="shared" ca="1" si="11"/>
        <v>4056.1169020968755</v>
      </c>
      <c r="N103">
        <f t="shared" ca="1" si="12"/>
        <v>267.06013069691329</v>
      </c>
      <c r="O103" s="4">
        <f t="shared" ca="1" si="13"/>
        <v>-2.0930242797606434E-2</v>
      </c>
      <c r="P103" s="4">
        <f t="shared" ca="1" si="14"/>
        <v>-3.7327138933485542E-2</v>
      </c>
      <c r="Q103" s="4">
        <f t="shared" ca="1" si="15"/>
        <v>6.8367461377023932E-3</v>
      </c>
      <c r="R103" s="4" cm="1">
        <f t="array" aca="1" ref="R103" ca="1">_xlfn._xlws.SORT(SUMPRODUCT($U$2:$W$2,O103:Q103))</f>
        <v>-1.9158904571365428E-2</v>
      </c>
      <c r="S103" s="4">
        <f ca="1"/>
        <v>-4.9049632551072583E-3</v>
      </c>
    </row>
    <row r="104" spans="1:19" x14ac:dyDescent="0.25">
      <c r="A104" s="4">
        <f>IFERROR(Merged_data[[#This Row],[BTCUSD_Close]]/Merged_data!D103-1,"")</f>
        <v>6.3817377082941995E-4</v>
      </c>
      <c r="B104" s="4">
        <f>IFERROR(Merged_data[[#This Row],[XAUUSD_Close]]/Merged_data!C103-1, "")</f>
        <v>3.2740506581308004E-3</v>
      </c>
      <c r="C104" s="4">
        <f>IFERROR(Merged_data[[#This Row],[AAPL_Close]]/Merged_data!B103-1,"")</f>
        <v>1.3681873782449117E-2</v>
      </c>
      <c r="D104" s="4">
        <f t="shared" si="8"/>
        <v>5.6056345292358808E-3</v>
      </c>
      <c r="E104">
        <f t="shared" ca="1" si="9"/>
        <v>1.8669972557048062</v>
      </c>
      <c r="F104">
        <f t="shared" ca="1" si="9"/>
        <v>-1.1465733211942</v>
      </c>
      <c r="G104">
        <f t="shared" ca="1" si="9"/>
        <v>-1.2803594482719465</v>
      </c>
      <c r="H104">
        <f ca="1"/>
        <v>1.8669972557048062</v>
      </c>
      <c r="I104">
        <f ca="1"/>
        <v>-1.046968024183621</v>
      </c>
      <c r="J104">
        <f ca="1"/>
        <v>-0.72341788020617515</v>
      </c>
      <c r="K104">
        <v>102</v>
      </c>
      <c r="L104">
        <f t="shared" ca="1" si="10"/>
        <v>115703.85409025627</v>
      </c>
      <c r="M104">
        <f t="shared" ca="1" si="11"/>
        <v>4068.4283133673935</v>
      </c>
      <c r="N104">
        <f t="shared" ca="1" si="12"/>
        <v>257.41069482499336</v>
      </c>
      <c r="O104" s="4">
        <f t="shared" ca="1" si="13"/>
        <v>7.69202642495114E-2</v>
      </c>
      <c r="P104" s="4">
        <f t="shared" ca="1" si="14"/>
        <v>3.0306731927399436E-3</v>
      </c>
      <c r="Q104" s="4">
        <f t="shared" ca="1" si="15"/>
        <v>-3.680099791174947E-2</v>
      </c>
      <c r="R104" s="4" cm="1">
        <f t="array" aca="1" ref="R104" ca="1">_xlfn._xlws.SORT(SUMPRODUCT($U$2:$W$2,O104:Q104))</f>
        <v>1.3248049178424556E-2</v>
      </c>
      <c r="S104" s="4">
        <f ca="1"/>
        <v>-4.8092220846374829E-3</v>
      </c>
    </row>
    <row r="105" spans="1:19" x14ac:dyDescent="0.25">
      <c r="A105" s="4">
        <f>IFERROR(Merged_data[[#This Row],[BTCUSD_Close]]/Merged_data!D104-1,"")</f>
        <v>-7.5286194978329002E-3</v>
      </c>
      <c r="B105" s="4">
        <f>IFERROR(Merged_data[[#This Row],[XAUUSD_Close]]/Merged_data!C104-1, "")</f>
        <v>-6.9503743273024998E-4</v>
      </c>
      <c r="C105" s="4">
        <f>IFERROR(Merged_data[[#This Row],[AAPL_Close]]/Merged_data!B104-1,"")</f>
        <v>-9.921787709497254E-3</v>
      </c>
      <c r="D105" s="4">
        <f t="shared" si="8"/>
        <v>-5.5131371352911459E-3</v>
      </c>
      <c r="E105">
        <f t="shared" ca="1" si="9"/>
        <v>0.44507902859648063</v>
      </c>
      <c r="F105">
        <f t="shared" ca="1" si="9"/>
        <v>0.57659017735932883</v>
      </c>
      <c r="G105">
        <f t="shared" ca="1" si="9"/>
        <v>-1.1049304025358513</v>
      </c>
      <c r="H105">
        <f ca="1"/>
        <v>0.44507902859648063</v>
      </c>
      <c r="I105">
        <f ca="1"/>
        <v>0.59916311295279634</v>
      </c>
      <c r="J105">
        <f ca="1"/>
        <v>-0.94528765022115724</v>
      </c>
      <c r="K105">
        <v>103</v>
      </c>
      <c r="L105">
        <f t="shared" ca="1" si="10"/>
        <v>111328.47887083434</v>
      </c>
      <c r="M105">
        <f t="shared" ca="1" si="11"/>
        <v>4150.9453611240779</v>
      </c>
      <c r="N105">
        <f t="shared" ca="1" si="12"/>
        <v>256.2361167430426</v>
      </c>
      <c r="O105" s="4">
        <f t="shared" ca="1" si="13"/>
        <v>-3.8548844308762403E-2</v>
      </c>
      <c r="P105" s="4">
        <f t="shared" ca="1" si="14"/>
        <v>2.0079345079566675E-2</v>
      </c>
      <c r="Q105" s="4">
        <f t="shared" ca="1" si="15"/>
        <v>-4.5734933143506892E-3</v>
      </c>
      <c r="R105" s="4" cm="1">
        <f t="array" aca="1" ref="R105" ca="1">_xlfn._xlws.SORT(SUMPRODUCT($U$2:$W$2,O105:Q105))</f>
        <v>-4.9049632551072583E-3</v>
      </c>
      <c r="S105" s="4">
        <f ca="1"/>
        <v>-3.9967921616725337E-3</v>
      </c>
    </row>
    <row r="106" spans="1:19" x14ac:dyDescent="0.25">
      <c r="A106" s="4">
        <f>IFERROR(Merged_data[[#This Row],[BTCUSD_Close]]/Merged_data!D105-1,"")</f>
        <v>6.0022502680399104E-3</v>
      </c>
      <c r="B106" s="4">
        <f>IFERROR(Merged_data[[#This Row],[XAUUSD_Close]]/Merged_data!C105-1, "")</f>
        <v>1.189009445835465E-2</v>
      </c>
      <c r="C106" s="4">
        <f>IFERROR(Merged_data[[#This Row],[AAPL_Close]]/Merged_data!B105-1,"")</f>
        <v>1.047262221820966E-2</v>
      </c>
      <c r="D106" s="4">
        <f t="shared" si="8"/>
        <v>9.6984995292167305E-3</v>
      </c>
      <c r="E106">
        <f t="shared" ca="1" si="9"/>
        <v>0.99993065415932247</v>
      </c>
      <c r="F106">
        <f t="shared" ca="1" si="9"/>
        <v>1.89709574649776</v>
      </c>
      <c r="G106">
        <f t="shared" ca="1" si="9"/>
        <v>0.20482687130521329</v>
      </c>
      <c r="H106">
        <f ca="1"/>
        <v>0.99993065415932247</v>
      </c>
      <c r="I106">
        <f ca="1"/>
        <v>1.9469790099461199</v>
      </c>
      <c r="J106">
        <f ca="1"/>
        <v>0.46113044513595691</v>
      </c>
      <c r="K106">
        <v>104</v>
      </c>
      <c r="L106">
        <f t="shared" ca="1" si="10"/>
        <v>113015.53945581062</v>
      </c>
      <c r="M106">
        <f t="shared" ca="1" si="11"/>
        <v>4219.7529228685444</v>
      </c>
      <c r="N106">
        <f t="shared" ca="1" si="12"/>
        <v>263.77175601768516</v>
      </c>
      <c r="O106" s="4">
        <f t="shared" ca="1" si="13"/>
        <v>1.5040226164384433E-2</v>
      </c>
      <c r="P106" s="4">
        <f t="shared" ca="1" si="14"/>
        <v>1.6440471088735229E-2</v>
      </c>
      <c r="Q106" s="4">
        <f t="shared" ca="1" si="15"/>
        <v>2.8984818238062239E-2</v>
      </c>
      <c r="R106" s="4" cm="1">
        <f t="array" aca="1" ref="R106" ca="1">_xlfn._xlws.SORT(SUMPRODUCT($U$2:$W$2,O106:Q106))</f>
        <v>1.9783701756228095E-2</v>
      </c>
      <c r="S106" s="4">
        <f ca="1"/>
        <v>-3.6235908094868017E-3</v>
      </c>
    </row>
    <row r="107" spans="1:19" x14ac:dyDescent="0.25">
      <c r="A107" s="4">
        <f>IFERROR(Merged_data[[#This Row],[BTCUSD_Close]]/Merged_data!D106-1,"")</f>
        <v>-4.1135454860781295E-2</v>
      </c>
      <c r="B107" s="4">
        <f>IFERROR(Merged_data[[#This Row],[XAUUSD_Close]]/Merged_data!C106-1, "")</f>
        <v>9.8290794116300262E-3</v>
      </c>
      <c r="C107" s="4">
        <f>IFERROR(Merged_data[[#This Row],[AAPL_Close]]/Merged_data!B106-1,"")</f>
        <v>-2.6580299307571997E-2</v>
      </c>
      <c r="D107" s="4">
        <f t="shared" si="8"/>
        <v>-1.6383094485853976E-2</v>
      </c>
      <c r="E107">
        <f t="shared" ca="1" si="9"/>
        <v>-0.59715253468797436</v>
      </c>
      <c r="F107">
        <f t="shared" ca="1" si="9"/>
        <v>-0.1171290699103837</v>
      </c>
      <c r="G107">
        <f t="shared" ca="1" si="9"/>
        <v>-3.0308035449190349E-2</v>
      </c>
      <c r="H107">
        <f ca="1"/>
        <v>-0.59715253468797436</v>
      </c>
      <c r="I107">
        <f ca="1"/>
        <v>-0.14832011166066167</v>
      </c>
      <c r="J107">
        <f ca="1"/>
        <v>-0.19034677060307914</v>
      </c>
      <c r="K107">
        <v>105</v>
      </c>
      <c r="L107">
        <f t="shared" ca="1" si="10"/>
        <v>108226.67421326932</v>
      </c>
      <c r="M107">
        <f t="shared" ca="1" si="11"/>
        <v>4113.2671772599633</v>
      </c>
      <c r="N107">
        <f t="shared" ca="1" si="12"/>
        <v>260.25362880513507</v>
      </c>
      <c r="O107" s="4">
        <f t="shared" ca="1" si="13"/>
        <v>-4.3297463611293656E-2</v>
      </c>
      <c r="P107" s="4">
        <f t="shared" ca="1" si="14"/>
        <v>-2.555893089493665E-2</v>
      </c>
      <c r="Q107" s="4">
        <f t="shared" ca="1" si="15"/>
        <v>-1.3427517725783137E-2</v>
      </c>
      <c r="R107" s="4" cm="1">
        <f t="array" aca="1" ref="R107" ca="1">_xlfn._xlws.SORT(SUMPRODUCT($U$2:$W$2,O107:Q107))</f>
        <v>-2.7241066759097699E-2</v>
      </c>
      <c r="S107" s="4">
        <f ca="1"/>
        <v>-3.4515987134244482E-3</v>
      </c>
    </row>
    <row r="108" spans="1:19" x14ac:dyDescent="0.25">
      <c r="A108" s="4">
        <f>IFERROR(Merged_data[[#This Row],[BTCUSD_Close]]/Merged_data!D107-1,"")</f>
        <v>-1.4837294760505548E-2</v>
      </c>
      <c r="B108" s="4">
        <f>IFERROR(Merged_data[[#This Row],[XAUUSD_Close]]/Merged_data!C107-1, "")</f>
        <v>1.232477108824237E-2</v>
      </c>
      <c r="C108" s="4">
        <f>IFERROR(Merged_data[[#This Row],[AAPL_Close]]/Merged_data!B107-1,"")</f>
        <v>1.9412574575493391E-2</v>
      </c>
      <c r="D108" s="4">
        <f t="shared" si="8"/>
        <v>6.3024923797933008E-3</v>
      </c>
      <c r="E108">
        <f t="shared" ca="1" si="9"/>
        <v>-1.1626275013507543</v>
      </c>
      <c r="F108">
        <f t="shared" ca="1" si="9"/>
        <v>-0.94511409707853444</v>
      </c>
      <c r="G108">
        <f t="shared" ca="1" si="9"/>
        <v>-0.72184771396862246</v>
      </c>
      <c r="H108">
        <f ca="1"/>
        <v>-1.1626275013507543</v>
      </c>
      <c r="I108">
        <f ca="1"/>
        <v>-1.0048525428198085</v>
      </c>
      <c r="J108">
        <f ca="1"/>
        <v>-1.006204637562194</v>
      </c>
      <c r="K108">
        <v>106</v>
      </c>
      <c r="L108">
        <f t="shared" ca="1" si="10"/>
        <v>106580.08695784409</v>
      </c>
      <c r="M108">
        <f t="shared" ca="1" si="11"/>
        <v>4070.5140516005354</v>
      </c>
      <c r="N108">
        <f t="shared" ca="1" si="12"/>
        <v>255.91396628328815</v>
      </c>
      <c r="O108" s="4">
        <f t="shared" ca="1" si="13"/>
        <v>-1.5331170193462706E-2</v>
      </c>
      <c r="P108" s="4">
        <f t="shared" ca="1" si="14"/>
        <v>-1.0448352272080597E-2</v>
      </c>
      <c r="Q108" s="4">
        <f t="shared" ca="1" si="15"/>
        <v>-1.6815332143703687E-2</v>
      </c>
      <c r="R108" s="4" cm="1">
        <f t="array" aca="1" ref="R108" ca="1">_xlfn._xlws.SORT(SUMPRODUCT($U$2:$W$2,O108:Q108))</f>
        <v>-1.3823291609982157E-2</v>
      </c>
      <c r="S108" s="4">
        <f ca="1"/>
        <v>-3.1846584636363133E-3</v>
      </c>
    </row>
    <row r="109" spans="1:19" x14ac:dyDescent="0.25">
      <c r="A109" s="4">
        <f>IFERROR(Merged_data[[#This Row],[BTCUSD_Close]]/Merged_data!D108-1,"")</f>
        <v>3.2204665344144567E-2</v>
      </c>
      <c r="B109" s="4">
        <f>IFERROR(Merged_data[[#This Row],[XAUUSD_Close]]/Merged_data!C108-1, "")</f>
        <v>-2.8543756153396327E-3</v>
      </c>
      <c r="C109" s="4">
        <f>IFERROR(Merged_data[[#This Row],[AAPL_Close]]/Merged_data!B108-1,"")</f>
        <v>4.7719803718542231E-3</v>
      </c>
      <c r="D109" s="4">
        <f t="shared" si="8"/>
        <v>9.9512434686637834E-3</v>
      </c>
      <c r="E109">
        <f t="shared" ca="1" si="9"/>
        <v>2.3380398940301013</v>
      </c>
      <c r="F109">
        <f t="shared" ca="1" si="9"/>
        <v>0.26179480455537885</v>
      </c>
      <c r="G109">
        <f t="shared" ca="1" si="9"/>
        <v>-0.29916394193870466</v>
      </c>
      <c r="H109">
        <f ca="1"/>
        <v>2.3380398940301013</v>
      </c>
      <c r="I109">
        <f ca="1"/>
        <v>0.38418897969165783</v>
      </c>
      <c r="J109">
        <f ca="1"/>
        <v>0.34371323051381703</v>
      </c>
      <c r="K109">
        <v>107</v>
      </c>
      <c r="L109">
        <f t="shared" ca="1" si="10"/>
        <v>117189.96556679481</v>
      </c>
      <c r="M109">
        <f t="shared" ca="1" si="11"/>
        <v>4140.069763427161</v>
      </c>
      <c r="N109">
        <f t="shared" ca="1" si="12"/>
        <v>263.13354834473768</v>
      </c>
      <c r="O109" s="4">
        <f t="shared" ca="1" si="13"/>
        <v>9.4899562685713965E-2</v>
      </c>
      <c r="P109" s="4">
        <f t="shared" ca="1" si="14"/>
        <v>1.6943344681052484E-2</v>
      </c>
      <c r="Q109" s="4">
        <f t="shared" ca="1" si="15"/>
        <v>2.7820372890158377E-2</v>
      </c>
      <c r="R109" s="4" cm="1">
        <f t="array" aca="1" ref="R109" ca="1">_xlfn._xlws.SORT(SUMPRODUCT($U$2:$W$2,O109:Q109))</f>
        <v>4.3593318545182697E-2</v>
      </c>
      <c r="S109" s="4">
        <f ca="1"/>
        <v>-2.8047431354256184E-3</v>
      </c>
    </row>
    <row r="110" spans="1:19" x14ac:dyDescent="0.25">
      <c r="A110" s="4">
        <f>IFERROR(Merged_data[[#This Row],[BTCUSD_Close]]/Merged_data!D109-1,"")</f>
        <v>-4.5106285059512974E-3</v>
      </c>
      <c r="B110" s="4">
        <f>IFERROR(Merged_data[[#This Row],[XAUUSD_Close]]/Merged_data!C109-1, "")</f>
        <v>6.8087825428018167E-3</v>
      </c>
      <c r="C110" s="4">
        <f>IFERROR(Merged_data[[#This Row],[AAPL_Close]]/Merged_data!B109-1,"")</f>
        <v>3.1363412339262542E-3</v>
      </c>
      <c r="D110" s="4">
        <f t="shared" si="8"/>
        <v>2.3112268355132137E-3</v>
      </c>
      <c r="E110">
        <f t="shared" ca="1" si="9"/>
        <v>-0.96646180607459331</v>
      </c>
      <c r="F110">
        <f t="shared" ca="1" si="9"/>
        <v>0.95004840195236961</v>
      </c>
      <c r="G110">
        <f t="shared" ca="1" si="9"/>
        <v>0.84806448078864183</v>
      </c>
      <c r="H110">
        <f ca="1"/>
        <v>-0.96646180607459331</v>
      </c>
      <c r="I110">
        <f ca="1"/>
        <v>0.89799541928380133</v>
      </c>
      <c r="J110">
        <f ca="1"/>
        <v>0.55160446402029573</v>
      </c>
      <c r="K110">
        <v>108</v>
      </c>
      <c r="L110">
        <f t="shared" ca="1" si="10"/>
        <v>107148.06662609965</v>
      </c>
      <c r="M110">
        <f t="shared" ca="1" si="11"/>
        <v>4166.0976964375286</v>
      </c>
      <c r="N110">
        <f t="shared" ca="1" si="12"/>
        <v>264.26315014357709</v>
      </c>
      <c r="O110" s="4">
        <f t="shared" ca="1" si="13"/>
        <v>-8.9584577310082403E-2</v>
      </c>
      <c r="P110" s="4">
        <f t="shared" ca="1" si="14"/>
        <v>6.2671546963548588E-3</v>
      </c>
      <c r="Q110" s="4">
        <f t="shared" ca="1" si="15"/>
        <v>4.2836958571445278E-3</v>
      </c>
      <c r="R110" s="4" cm="1">
        <f t="array" aca="1" ref="R110" ca="1">_xlfn._xlws.SORT(SUMPRODUCT($U$2:$W$2,O110:Q110))</f>
        <v>-2.3083402557339417E-2</v>
      </c>
      <c r="S110" s="4">
        <f ca="1"/>
        <v>-2.7799187880890933E-3</v>
      </c>
    </row>
    <row r="111" spans="1:19" x14ac:dyDescent="0.25">
      <c r="A111" s="4">
        <f>IFERROR(Merged_data[[#This Row],[BTCUSD_Close]]/Merged_data!D110-1,"")</f>
        <v>-2.4814723961109619E-2</v>
      </c>
      <c r="B111" s="4">
        <f>IFERROR(Merged_data[[#This Row],[XAUUSD_Close]]/Merged_data!C110-1, "")</f>
        <v>-6.643140869348918E-3</v>
      </c>
      <c r="C111" s="4">
        <f>IFERROR(Merged_data[[#This Row],[AAPL_Close]]/Merged_data!B110-1,"")</f>
        <v>-9.2456116843092517E-2</v>
      </c>
      <c r="D111" s="4">
        <f t="shared" si="8"/>
        <v>-3.7838508589000203E-2</v>
      </c>
      <c r="E111">
        <f t="shared" ca="1" si="9"/>
        <v>1.4655640602929154</v>
      </c>
      <c r="F111">
        <f t="shared" ca="1" si="9"/>
        <v>-1.9442445909954456</v>
      </c>
      <c r="G111">
        <f t="shared" ca="1" si="9"/>
        <v>1.6483712100374628</v>
      </c>
      <c r="H111">
        <f ca="1"/>
        <v>1.4655640602929154</v>
      </c>
      <c r="I111">
        <f ca="1"/>
        <v>-1.8646157427427528</v>
      </c>
      <c r="J111">
        <f ca="1"/>
        <v>1.9902065660826878</v>
      </c>
      <c r="K111">
        <v>109</v>
      </c>
      <c r="L111">
        <f t="shared" ca="1" si="10"/>
        <v>114450.33760441073</v>
      </c>
      <c r="M111">
        <f t="shared" ca="1" si="11"/>
        <v>4028.0441479566234</v>
      </c>
      <c r="N111">
        <f t="shared" ca="1" si="12"/>
        <v>272.21535634390915</v>
      </c>
      <c r="O111" s="4">
        <f t="shared" ca="1" si="13"/>
        <v>6.5929318055847869E-2</v>
      </c>
      <c r="P111" s="4">
        <f t="shared" ca="1" si="14"/>
        <v>-3.3698858397425209E-2</v>
      </c>
      <c r="Q111" s="4">
        <f t="shared" ca="1" si="15"/>
        <v>2.9648116753631663E-2</v>
      </c>
      <c r="R111" s="4" cm="1">
        <f t="array" aca="1" ref="R111" ca="1">_xlfn._xlws.SORT(SUMPRODUCT($U$2:$W$2,O111:Q111))</f>
        <v>1.5193687083873772E-2</v>
      </c>
      <c r="S111" s="4">
        <f ca="1"/>
        <v>-2.52534107227097E-3</v>
      </c>
    </row>
    <row r="112" spans="1:19" x14ac:dyDescent="0.25">
      <c r="A112" s="4">
        <f>IFERROR(Merged_data[[#This Row],[BTCUSD_Close]]/Merged_data!D111-1,"")</f>
        <v>1.6063941331482257E-2</v>
      </c>
      <c r="B112" s="4">
        <f>IFERROR(Merged_data[[#This Row],[XAUUSD_Close]]/Merged_data!C111-1, "")</f>
        <v>-2.5154627921797457E-2</v>
      </c>
      <c r="C112" s="4">
        <f>IFERROR(Merged_data[[#This Row],[AAPL_Close]]/Merged_data!B111-1,"")</f>
        <v>-7.2887445248289828E-2</v>
      </c>
      <c r="D112" s="4">
        <f t="shared" si="8"/>
        <v>-2.7108902343761253E-2</v>
      </c>
      <c r="E112">
        <f t="shared" ca="1" si="9"/>
        <v>0.38446030487443256</v>
      </c>
      <c r="F112">
        <f t="shared" ca="1" si="9"/>
        <v>-1.1775351350559293</v>
      </c>
      <c r="G112">
        <f t="shared" ca="1" si="9"/>
        <v>-1.1485758943289299</v>
      </c>
      <c r="H112">
        <f ca="1"/>
        <v>0.38446030487443256</v>
      </c>
      <c r="I112">
        <f ca="1"/>
        <v>-1.155725500122019</v>
      </c>
      <c r="J112">
        <f ca="1"/>
        <v>-0.99758910349838192</v>
      </c>
      <c r="K112">
        <v>110</v>
      </c>
      <c r="L112">
        <f t="shared" ca="1" si="10"/>
        <v>111144.53063930984</v>
      </c>
      <c r="M112">
        <f t="shared" ca="1" si="11"/>
        <v>4063.0248702303152</v>
      </c>
      <c r="N112">
        <f t="shared" ca="1" si="12"/>
        <v>255.95853777715382</v>
      </c>
      <c r="O112" s="4">
        <f t="shared" ca="1" si="13"/>
        <v>-2.9309564016736699E-2</v>
      </c>
      <c r="P112" s="4">
        <f t="shared" ca="1" si="14"/>
        <v>8.646803072792723E-3</v>
      </c>
      <c r="Q112" s="4">
        <f t="shared" ca="1" si="15"/>
        <v>-6.1578034736340763E-2</v>
      </c>
      <c r="R112" s="4" cm="1">
        <f t="array" aca="1" ref="R112" ca="1">_xlfn._xlws.SORT(SUMPRODUCT($U$2:$W$2,O112:Q112))</f>
        <v>-2.380755839680615E-2</v>
      </c>
      <c r="S112" s="4">
        <f ca="1"/>
        <v>-2.4716970401195606E-3</v>
      </c>
    </row>
    <row r="113" spans="1:19" x14ac:dyDescent="0.25">
      <c r="A113" s="4">
        <f>IFERROR(Merged_data[[#This Row],[BTCUSD_Close]]/Merged_data!D112-1,"")</f>
        <v>-5.7414844209358606E-2</v>
      </c>
      <c r="B113" s="4">
        <f>IFERROR(Merged_data[[#This Row],[XAUUSD_Close]]/Merged_data!C112-1, "")</f>
        <v>-1.7504367858489633E-2</v>
      </c>
      <c r="C113" s="4">
        <f>IFERROR(Merged_data[[#This Row],[AAPL_Close]]/Merged_data!B112-1,"")</f>
        <v>-3.673426053721196E-2</v>
      </c>
      <c r="D113" s="4">
        <f t="shared" si="8"/>
        <v>-3.5246478567367026E-2</v>
      </c>
      <c r="E113">
        <f t="shared" ca="1" si="9"/>
        <v>0.79874267881584859</v>
      </c>
      <c r="F113">
        <f t="shared" ca="1" si="9"/>
        <v>-1.318446022586711</v>
      </c>
      <c r="G113">
        <f t="shared" ca="1" si="9"/>
        <v>0.1722968136470735</v>
      </c>
      <c r="H113">
        <f ca="1"/>
        <v>0.79874267881584859</v>
      </c>
      <c r="I113">
        <f ca="1"/>
        <v>-1.2746907638024945</v>
      </c>
      <c r="J113">
        <f ca="1"/>
        <v>0.38659141610408593</v>
      </c>
      <c r="K113">
        <v>111</v>
      </c>
      <c r="L113">
        <f t="shared" ca="1" si="10"/>
        <v>112399.65953798308</v>
      </c>
      <c r="M113">
        <f t="shared" ca="1" si="11"/>
        <v>4057.1318830316454</v>
      </c>
      <c r="N113">
        <f t="shared" ca="1" si="12"/>
        <v>263.3652839620907</v>
      </c>
      <c r="O113" s="4">
        <f t="shared" ca="1" si="13"/>
        <v>1.1229476257753227E-2</v>
      </c>
      <c r="P113" s="4">
        <f t="shared" ca="1" si="14"/>
        <v>-1.4514469147075234E-3</v>
      </c>
      <c r="Q113" s="4">
        <f t="shared" ca="1" si="15"/>
        <v>2.8526511380156865E-2</v>
      </c>
      <c r="R113" s="4" cm="1">
        <f t="array" aca="1" ref="R113" ca="1">_xlfn._xlws.SORT(SUMPRODUCT($U$2:$W$2,O113:Q113))</f>
        <v>1.1346217525490018E-2</v>
      </c>
      <c r="S113" s="4">
        <f ca="1"/>
        <v>-2.4343916299679252E-3</v>
      </c>
    </row>
    <row r="114" spans="1:19" x14ac:dyDescent="0.25">
      <c r="A114" s="4">
        <f>IFERROR(Merged_data[[#This Row],[BTCUSD_Close]]/Merged_data!D113-1,"")</f>
        <v>-2.7479770888262478E-2</v>
      </c>
      <c r="B114" s="4">
        <f>IFERROR(Merged_data[[#This Row],[XAUUSD_Close]]/Merged_data!C113-1, "")</f>
        <v>-1.340826317739463E-4</v>
      </c>
      <c r="C114" s="4">
        <f>IFERROR(Merged_data[[#This Row],[AAPL_Close]]/Merged_data!B113-1,"")</f>
        <v>-4.9818141739226385E-2</v>
      </c>
      <c r="D114" s="4">
        <f t="shared" si="8"/>
        <v>-2.3243006840956239E-2</v>
      </c>
      <c r="E114">
        <f t="shared" ca="1" si="9"/>
        <v>-0.75445498773445874</v>
      </c>
      <c r="F114">
        <f t="shared" ca="1" si="9"/>
        <v>0.97973751139262655</v>
      </c>
      <c r="G114">
        <f t="shared" ca="1" si="9"/>
        <v>0.85718958332891737</v>
      </c>
      <c r="H114">
        <f ca="1"/>
        <v>-0.75445498773445874</v>
      </c>
      <c r="I114">
        <f ca="1"/>
        <v>0.93877467795918734</v>
      </c>
      <c r="J114">
        <f ca="1"/>
        <v>0.61765054579522283</v>
      </c>
      <c r="K114">
        <v>112</v>
      </c>
      <c r="L114">
        <f t="shared" ca="1" si="10"/>
        <v>107765.02426243154</v>
      </c>
      <c r="M114">
        <f t="shared" ca="1" si="11"/>
        <v>4168.1655673195273</v>
      </c>
      <c r="N114">
        <f t="shared" ca="1" si="12"/>
        <v>264.62220231933594</v>
      </c>
      <c r="O114" s="4">
        <f t="shared" ca="1" si="13"/>
        <v>-4.210775285971239E-2</v>
      </c>
      <c r="P114" s="4">
        <f t="shared" ca="1" si="14"/>
        <v>2.6999735885672092E-2</v>
      </c>
      <c r="Q114" s="4">
        <f t="shared" ca="1" si="15"/>
        <v>4.7611762183956026E-3</v>
      </c>
      <c r="R114" s="4" cm="1">
        <f t="array" aca="1" ref="R114" ca="1">_xlfn._xlws.SORT(SUMPRODUCT($U$2:$W$2,O114:Q114))</f>
        <v>-4.0407863812619922E-4</v>
      </c>
      <c r="S114" s="4">
        <f ca="1"/>
        <v>-2.3414218935946685E-3</v>
      </c>
    </row>
    <row r="115" spans="1:19" x14ac:dyDescent="0.25">
      <c r="A115" s="4">
        <f>IFERROR(Merged_data[[#This Row],[BTCUSD_Close]]/Merged_data!D114-1,"")</f>
        <v>8.1296759399921426E-2</v>
      </c>
      <c r="B115" s="4">
        <f>IFERROR(Merged_data[[#This Row],[XAUUSD_Close]]/Merged_data!C114-1, "")</f>
        <v>3.3560354494968747E-2</v>
      </c>
      <c r="C115" s="4">
        <f>IFERROR(Merged_data[[#This Row],[AAPL_Close]]/Merged_data!B114-1,"")</f>
        <v>0.15328848161466202</v>
      </c>
      <c r="D115" s="4">
        <f t="shared" si="8"/>
        <v>8.3799714102362532E-2</v>
      </c>
      <c r="E115">
        <f t="shared" ca="1" si="9"/>
        <v>-3.1726242093185082</v>
      </c>
      <c r="F115">
        <f t="shared" ca="1" si="9"/>
        <v>-5.6031775034063723E-2</v>
      </c>
      <c r="G115">
        <f t="shared" ca="1" si="9"/>
        <v>0.43481197102115049</v>
      </c>
      <c r="H115">
        <f ca="1"/>
        <v>-3.1726242093185082</v>
      </c>
      <c r="I115">
        <f ca="1"/>
        <v>-0.22252834143096872</v>
      </c>
      <c r="J115">
        <f ca="1"/>
        <v>-0.43966624582219543</v>
      </c>
      <c r="K115">
        <v>113</v>
      </c>
      <c r="L115">
        <f t="shared" ca="1" si="10"/>
        <v>100926.90394780069</v>
      </c>
      <c r="M115">
        <f t="shared" ca="1" si="11"/>
        <v>4109.5357173306929</v>
      </c>
      <c r="N115">
        <f t="shared" ca="1" si="12"/>
        <v>258.91801328814148</v>
      </c>
      <c r="O115" s="4">
        <f t="shared" ca="1" si="13"/>
        <v>-6.5556624035755032E-2</v>
      </c>
      <c r="P115" s="4">
        <f t="shared" ca="1" si="14"/>
        <v>-1.4165969133198068E-2</v>
      </c>
      <c r="Q115" s="4">
        <f t="shared" ca="1" si="15"/>
        <v>-2.1791696577238177E-2</v>
      </c>
      <c r="R115" s="4" cm="1">
        <f t="array" aca="1" ref="R115" ca="1">_xlfn._xlws.SORT(SUMPRODUCT($U$2:$W$2,O115:Q115))</f>
        <v>-3.1870883837177191E-2</v>
      </c>
      <c r="S115" s="4">
        <f ca="1"/>
        <v>-2.3057575234279783E-3</v>
      </c>
    </row>
    <row r="116" spans="1:19" x14ac:dyDescent="0.25">
      <c r="A116" s="4">
        <f>IFERROR(Merged_data[[#This Row],[BTCUSD_Close]]/Merged_data!D115-1,"")</f>
        <v>-4.3294851689165692E-2</v>
      </c>
      <c r="B116" s="4">
        <f>IFERROR(Merged_data[[#This Row],[XAUUSD_Close]]/Merged_data!C115-1, "")</f>
        <v>3.0057347856267125E-2</v>
      </c>
      <c r="C116" s="4">
        <f>IFERROR(Merged_data[[#This Row],[AAPL_Close]]/Merged_data!B115-1,"")</f>
        <v>-4.2393764143827006E-2</v>
      </c>
      <c r="D116" s="4">
        <f t="shared" si="8"/>
        <v>-1.368364560739096E-2</v>
      </c>
      <c r="E116">
        <f t="shared" ca="1" si="9"/>
        <v>0.58520874949439416</v>
      </c>
      <c r="F116">
        <f t="shared" ca="1" si="9"/>
        <v>0.84999546484869148</v>
      </c>
      <c r="G116">
        <f t="shared" ca="1" si="9"/>
        <v>-0.86956041998960698</v>
      </c>
      <c r="H116">
        <f ca="1"/>
        <v>0.58520874949439416</v>
      </c>
      <c r="I116">
        <f ca="1"/>
        <v>0.87954860323704886</v>
      </c>
      <c r="J116">
        <f ca="1"/>
        <v>-0.68173625153763273</v>
      </c>
      <c r="K116">
        <v>114</v>
      </c>
      <c r="L116">
        <f t="shared" ca="1" si="10"/>
        <v>111750.38757376379</v>
      </c>
      <c r="M116">
        <f t="shared" ca="1" si="11"/>
        <v>4165.1528973063305</v>
      </c>
      <c r="N116">
        <f t="shared" ca="1" si="12"/>
        <v>257.62927915941469</v>
      </c>
      <c r="O116" s="4">
        <f t="shared" ca="1" si="13"/>
        <v>0.10187117017123075</v>
      </c>
      <c r="P116" s="4">
        <f t="shared" ca="1" si="14"/>
        <v>1.3442927008446657E-2</v>
      </c>
      <c r="Q116" s="4">
        <f t="shared" ca="1" si="15"/>
        <v>-4.9898114712836963E-3</v>
      </c>
      <c r="R116" s="4" cm="1">
        <f t="array" aca="1" ref="R116" ca="1">_xlfn._xlws.SORT(SUMPRODUCT($U$2:$W$2,O116:Q116))</f>
        <v>3.4441578413362775E-2</v>
      </c>
      <c r="S116" s="4">
        <f ca="1"/>
        <v>-2.1715834899804433E-3</v>
      </c>
    </row>
    <row r="117" spans="1:19" x14ac:dyDescent="0.25">
      <c r="A117" s="4">
        <f>IFERROR(Merged_data[[#This Row],[BTCUSD_Close]]/Merged_data!D116-1,"")</f>
        <v>5.2678283418452931E-2</v>
      </c>
      <c r="B117" s="4">
        <f>IFERROR(Merged_data[[#This Row],[XAUUSD_Close]]/Merged_data!C116-1, "")</f>
        <v>1.7437622122398633E-2</v>
      </c>
      <c r="C117" s="4">
        <f>IFERROR(Merged_data[[#This Row],[AAPL_Close]]/Merged_data!B116-1,"")</f>
        <v>4.0594475370234306E-2</v>
      </c>
      <c r="D117" s="4">
        <f t="shared" si="8"/>
        <v>3.495687648556562E-2</v>
      </c>
      <c r="E117">
        <f t="shared" ca="1" si="9"/>
        <v>1.1372106157557864</v>
      </c>
      <c r="F117">
        <f t="shared" ca="1" si="9"/>
        <v>-0.47774982058201404</v>
      </c>
      <c r="G117">
        <f t="shared" ca="1" si="9"/>
        <v>-0.43972951412883632</v>
      </c>
      <c r="H117">
        <f ca="1"/>
        <v>1.1372106157557864</v>
      </c>
      <c r="I117">
        <f ca="1"/>
        <v>-0.41738335151012917</v>
      </c>
      <c r="J117">
        <f ca="1"/>
        <v>-0.11394999068121098</v>
      </c>
      <c r="K117">
        <v>115</v>
      </c>
      <c r="L117">
        <f t="shared" ca="1" si="10"/>
        <v>113435.07792111249</v>
      </c>
      <c r="M117">
        <f t="shared" ca="1" si="11"/>
        <v>4099.7770856143752</v>
      </c>
      <c r="N117">
        <f t="shared" ca="1" si="12"/>
        <v>260.66149889182657</v>
      </c>
      <c r="O117" s="4">
        <f t="shared" ca="1" si="13"/>
        <v>1.4962970862341657E-2</v>
      </c>
      <c r="P117" s="4">
        <f t="shared" ca="1" si="14"/>
        <v>-1.5820382112696107E-2</v>
      </c>
      <c r="Q117" s="4">
        <f t="shared" ca="1" si="15"/>
        <v>1.1700977353137068E-2</v>
      </c>
      <c r="R117" s="4" cm="1">
        <f t="array" aca="1" ref="R117" ca="1">_xlfn._xlws.SORT(SUMPRODUCT($U$2:$W$2,O117:Q117))</f>
        <v>1.6710316195651742E-3</v>
      </c>
      <c r="S117" s="4">
        <f ca="1"/>
        <v>-2.0038724422472339E-3</v>
      </c>
    </row>
    <row r="118" spans="1:19" x14ac:dyDescent="0.25">
      <c r="A118" s="4">
        <f>IFERROR(Merged_data[[#This Row],[BTCUSD_Close]]/Merged_data!D117-1,"")</f>
        <v>1.0158663539578949E-2</v>
      </c>
      <c r="B118" s="4">
        <f>IFERROR(Merged_data[[#This Row],[XAUUSD_Close]]/Merged_data!C117-1, "")</f>
        <v>-6.2751858569226604E-3</v>
      </c>
      <c r="C118" s="4">
        <f>IFERROR(Merged_data[[#This Row],[AAPL_Close]]/Merged_data!B117-1,"")</f>
        <v>2.2053999495331933E-2</v>
      </c>
      <c r="D118" s="4">
        <f t="shared" si="8"/>
        <v>7.1537245677042007E-3</v>
      </c>
      <c r="E118">
        <f t="shared" ca="1" si="9"/>
        <v>0.30197088239305381</v>
      </c>
      <c r="F118">
        <f t="shared" ca="1" si="9"/>
        <v>1.0821699912973726</v>
      </c>
      <c r="G118">
        <f t="shared" ca="1" si="9"/>
        <v>0.60667493035707087</v>
      </c>
      <c r="H118">
        <f ca="1"/>
        <v>0.30197088239305381</v>
      </c>
      <c r="I118">
        <f ca="1"/>
        <v>1.096531923768328</v>
      </c>
      <c r="J118">
        <f ca="1"/>
        <v>0.66197366367706179</v>
      </c>
      <c r="K118">
        <v>116</v>
      </c>
      <c r="L118">
        <f t="shared" ca="1" si="10"/>
        <v>110895.2805879659</v>
      </c>
      <c r="M118">
        <f t="shared" ca="1" si="11"/>
        <v>4176.1892495108923</v>
      </c>
      <c r="N118">
        <f t="shared" ca="1" si="12"/>
        <v>264.86313631609846</v>
      </c>
      <c r="O118" s="4">
        <f t="shared" ca="1" si="13"/>
        <v>-2.2644334684676193E-2</v>
      </c>
      <c r="P118" s="4">
        <f t="shared" ca="1" si="14"/>
        <v>1.8466565053110558E-2</v>
      </c>
      <c r="Q118" s="4">
        <f t="shared" ca="1" si="15"/>
        <v>1.59905993821302E-2</v>
      </c>
      <c r="R118" s="4" cm="1">
        <f t="array" aca="1" ref="R118" ca="1">_xlfn._xlws.SORT(SUMPRODUCT($U$2:$W$2,O118:Q118))</f>
        <v>5.3905054304804259E-3</v>
      </c>
      <c r="S118" s="4">
        <f ca="1"/>
        <v>-1.6621030547112189E-3</v>
      </c>
    </row>
    <row r="119" spans="1:19" x14ac:dyDescent="0.25">
      <c r="A119" s="4">
        <f>IFERROR(Merged_data[[#This Row],[BTCUSD_Close]]/Merged_data!D118-1,"")</f>
        <v>-6.0126556131694375E-3</v>
      </c>
      <c r="B119" s="4">
        <f>IFERROR(Merged_data[[#This Row],[XAUUSD_Close]]/Merged_data!C118-1, "")</f>
        <v>6.0298283398818597E-3</v>
      </c>
      <c r="C119" s="4">
        <f>IFERROR(Merged_data[[#This Row],[AAPL_Close]]/Merged_data!B118-1,"")</f>
        <v>-1.8763578905788281E-3</v>
      </c>
      <c r="D119" s="4">
        <f t="shared" si="8"/>
        <v>4.5227284828264279E-5</v>
      </c>
      <c r="E119">
        <f t="shared" ca="1" si="9"/>
        <v>-0.10231583135238233</v>
      </c>
      <c r="F119">
        <f t="shared" ca="1" si="9"/>
        <v>-3.7993997479531534E-2</v>
      </c>
      <c r="G119">
        <f t="shared" ca="1" si="9"/>
        <v>-1.3767639492765353</v>
      </c>
      <c r="H119">
        <f ca="1"/>
        <v>-0.10231583135238233</v>
      </c>
      <c r="I119">
        <f ca="1"/>
        <v>-4.33135322970696E-2</v>
      </c>
      <c r="J119">
        <f ca="1"/>
        <v>-1.3529503794658966</v>
      </c>
      <c r="K119">
        <v>117</v>
      </c>
      <c r="L119">
        <f t="shared" ca="1" si="10"/>
        <v>109686.34532171326</v>
      </c>
      <c r="M119">
        <f t="shared" ca="1" si="11"/>
        <v>4118.5243837505741</v>
      </c>
      <c r="N119">
        <f t="shared" ca="1" si="12"/>
        <v>254.08926855522154</v>
      </c>
      <c r="O119" s="4">
        <f t="shared" ca="1" si="13"/>
        <v>-1.0961451263684981E-2</v>
      </c>
      <c r="P119" s="4">
        <f t="shared" ca="1" si="14"/>
        <v>-1.3904227999719175E-2</v>
      </c>
      <c r="Q119" s="4">
        <f t="shared" ca="1" si="15"/>
        <v>-4.1527569560729907E-2</v>
      </c>
      <c r="R119" s="4" cm="1">
        <f t="array" aca="1" ref="R119" ca="1">_xlfn._xlws.SORT(SUMPRODUCT($U$2:$W$2,O119:Q119))</f>
        <v>-2.1308397447212135E-2</v>
      </c>
      <c r="S119" s="4">
        <f ca="1"/>
        <v>-1.6469308963884114E-3</v>
      </c>
    </row>
    <row r="120" spans="1:19" x14ac:dyDescent="0.25">
      <c r="A120" s="4">
        <f>IFERROR(Merged_data[[#This Row],[BTCUSD_Close]]/Merged_data!D119-1,"")</f>
        <v>3.549379600745306E-3</v>
      </c>
      <c r="B120" s="4">
        <f>IFERROR(Merged_data[[#This Row],[XAUUSD_Close]]/Merged_data!C119-1, "")</f>
        <v>3.498072020222498E-2</v>
      </c>
      <c r="C120" s="4">
        <f>IFERROR(Merged_data[[#This Row],[AAPL_Close]]/Merged_data!B119-1,"")</f>
        <v>-3.893341248639548E-2</v>
      </c>
      <c r="D120" s="4">
        <f t="shared" si="8"/>
        <v>3.3770782151949404E-3</v>
      </c>
      <c r="E120">
        <f t="shared" ca="1" si="9"/>
        <v>-0.68755021068987232</v>
      </c>
      <c r="F120">
        <f t="shared" ca="1" si="9"/>
        <v>-1.1528438634029246</v>
      </c>
      <c r="G120">
        <f t="shared" ca="1" si="9"/>
        <v>0.64282268073417603</v>
      </c>
      <c r="H120">
        <f ca="1"/>
        <v>-0.68755021068987232</v>
      </c>
      <c r="I120">
        <f ca="1"/>
        <v>-1.1873525793169906</v>
      </c>
      <c r="J120">
        <f ca="1"/>
        <v>0.43682250300388725</v>
      </c>
      <c r="K120">
        <v>118</v>
      </c>
      <c r="L120">
        <f t="shared" ca="1" si="10"/>
        <v>107959.70442749833</v>
      </c>
      <c r="M120">
        <f t="shared" ca="1" si="11"/>
        <v>4061.4479913839914</v>
      </c>
      <c r="N120">
        <f t="shared" ca="1" si="12"/>
        <v>263.63649766402324</v>
      </c>
      <c r="O120" s="4">
        <f t="shared" ca="1" si="13"/>
        <v>-1.5866836273609703E-2</v>
      </c>
      <c r="P120" s="4">
        <f t="shared" ca="1" si="14"/>
        <v>-1.3955381769286268E-2</v>
      </c>
      <c r="Q120" s="4">
        <f t="shared" ca="1" si="15"/>
        <v>3.6885595277935661E-2</v>
      </c>
      <c r="R120" s="4" cm="1">
        <f t="array" aca="1" ref="R120" ca="1">_xlfn._xlws.SORT(SUMPRODUCT($U$2:$W$2,O120:Q120))</f>
        <v>7.2347499358327988E-4</v>
      </c>
      <c r="S120" s="4">
        <f ca="1"/>
        <v>-1.4043857115448562E-3</v>
      </c>
    </row>
    <row r="121" spans="1:19" x14ac:dyDescent="0.25">
      <c r="A121" s="4">
        <f>IFERROR(Merged_data[[#This Row],[BTCUSD_Close]]/Merged_data!D120-1,"")</f>
        <v>6.6180890489737632E-3</v>
      </c>
      <c r="B121" s="4">
        <f>IFERROR(Merged_data[[#This Row],[XAUUSD_Close]]/Merged_data!C120-1, "")</f>
        <v>-4.6933119556812342E-3</v>
      </c>
      <c r="C121" s="4">
        <f>IFERROR(Merged_data[[#This Row],[AAPL_Close]]/Merged_data!B120-1,"")</f>
        <v>1.3949657692901463E-2</v>
      </c>
      <c r="D121" s="4">
        <f t="shared" si="8"/>
        <v>4.292999240290073E-3</v>
      </c>
      <c r="E121">
        <f t="shared" ca="1" si="9"/>
        <v>-0.50965907393928378</v>
      </c>
      <c r="F121">
        <f t="shared" ca="1" si="9"/>
        <v>0.41228920123374174</v>
      </c>
      <c r="G121">
        <f t="shared" ca="1" si="9"/>
        <v>0.59882146815746984</v>
      </c>
      <c r="H121">
        <f ca="1"/>
        <v>-0.50965907393928378</v>
      </c>
      <c r="I121">
        <f ca="1"/>
        <v>0.38496166649278629</v>
      </c>
      <c r="J121">
        <f ca="1"/>
        <v>0.4371380869384891</v>
      </c>
      <c r="K121">
        <v>119</v>
      </c>
      <c r="L121">
        <f t="shared" ca="1" si="10"/>
        <v>108481.44005129584</v>
      </c>
      <c r="M121">
        <f t="shared" ca="1" si="11"/>
        <v>4140.0939411685131</v>
      </c>
      <c r="N121">
        <f t="shared" ca="1" si="12"/>
        <v>263.63798751198175</v>
      </c>
      <c r="O121" s="4">
        <f t="shared" ca="1" si="13"/>
        <v>4.8210485634844324E-3</v>
      </c>
      <c r="P121" s="4">
        <f t="shared" ca="1" si="14"/>
        <v>1.9178920529337E-2</v>
      </c>
      <c r="Q121" s="4">
        <f t="shared" ca="1" si="15"/>
        <v>5.6511285882054478E-6</v>
      </c>
      <c r="R121" s="4" cm="1">
        <f t="array" aca="1" ref="R121" ca="1">_xlfn._xlws.SORT(SUMPRODUCT($U$2:$W$2,O121:Q121))</f>
        <v>9.1195781193565903E-3</v>
      </c>
      <c r="S121" s="4">
        <f ca="1"/>
        <v>-1.2644470571815791E-3</v>
      </c>
    </row>
    <row r="122" spans="1:19" x14ac:dyDescent="0.25">
      <c r="A122" s="4">
        <f>IFERROR(Merged_data[[#This Row],[BTCUSD_Close]]/Merged_data!D121-1,"")</f>
        <v>2.6029121865379201E-2</v>
      </c>
      <c r="B122" s="4">
        <f>IFERROR(Merged_data[[#This Row],[XAUUSD_Close]]/Merged_data!C121-1, "")</f>
        <v>2.9164218533283881E-2</v>
      </c>
      <c r="C122" s="4">
        <f>IFERROR(Merged_data[[#This Row],[AAPL_Close]]/Merged_data!B121-1,"")</f>
        <v>-1.9392831759569518E-2</v>
      </c>
      <c r="D122" s="4">
        <f t="shared" si="8"/>
        <v>1.3656574445056458E-2</v>
      </c>
      <c r="E122">
        <f t="shared" ca="1" si="9"/>
        <v>1.2076931645451907</v>
      </c>
      <c r="F122">
        <f t="shared" ca="1" si="9"/>
        <v>1.2519474305384877</v>
      </c>
      <c r="G122">
        <f t="shared" ca="1" si="9"/>
        <v>0.2975987555951175</v>
      </c>
      <c r="H122">
        <f ca="1"/>
        <v>1.2076931645451907</v>
      </c>
      <c r="I122">
        <f ca="1"/>
        <v>1.3136287781627567</v>
      </c>
      <c r="J122">
        <f ca="1"/>
        <v>0.60890775455761215</v>
      </c>
      <c r="K122">
        <v>120</v>
      </c>
      <c r="L122">
        <f t="shared" ca="1" si="10"/>
        <v>113651.19152245115</v>
      </c>
      <c r="M122">
        <f t="shared" ca="1" si="11"/>
        <v>4187.2581413586686</v>
      </c>
      <c r="N122">
        <f t="shared" ca="1" si="12"/>
        <v>264.5727203386237</v>
      </c>
      <c r="O122" s="4">
        <f t="shared" ca="1" si="13"/>
        <v>4.6554935469948447E-2</v>
      </c>
      <c r="P122" s="4">
        <f t="shared" ca="1" si="14"/>
        <v>1.1327659512396846E-2</v>
      </c>
      <c r="Q122" s="4">
        <f t="shared" ca="1" si="15"/>
        <v>3.5392459428588152E-3</v>
      </c>
      <c r="R122" s="4" cm="1">
        <f t="array" aca="1" ref="R122" ca="1">_xlfn._xlws.SORT(SUMPRODUCT($U$2:$W$2,O122:Q122))</f>
        <v>1.9559318228800918E-2</v>
      </c>
      <c r="S122" s="4">
        <f ca="1"/>
        <v>-1.2243427128686138E-3</v>
      </c>
    </row>
    <row r="123" spans="1:19" x14ac:dyDescent="0.25">
      <c r="A123" s="4">
        <f>IFERROR(Merged_data[[#This Row],[BTCUSD_Close]]/Merged_data!D122-1,"")</f>
        <v>6.5599351086792268E-2</v>
      </c>
      <c r="B123" s="4">
        <f>IFERROR(Merged_data[[#This Row],[XAUUSD_Close]]/Merged_data!C122-1, "")</f>
        <v>-1.2628471223468107E-2</v>
      </c>
      <c r="C123" s="4">
        <f>IFERROR(Merged_data[[#This Row],[AAPL_Close]]/Merged_data!B122-1,"")</f>
        <v>3.406502381445442E-2</v>
      </c>
      <c r="D123" s="4">
        <f t="shared" si="8"/>
        <v>2.4847923980986765E-2</v>
      </c>
      <c r="E123">
        <f t="shared" ca="1" si="9"/>
        <v>-0.60135390352671192</v>
      </c>
      <c r="F123">
        <f t="shared" ca="1" si="9"/>
        <v>-0.16250397972658287</v>
      </c>
      <c r="G123">
        <f t="shared" ca="1" si="9"/>
        <v>-0.4001318519127558</v>
      </c>
      <c r="H123">
        <f ca="1"/>
        <v>-0.60135390352671192</v>
      </c>
      <c r="I123">
        <f ca="1"/>
        <v>-0.19385302423539674</v>
      </c>
      <c r="J123">
        <f ca="1"/>
        <v>-0.54735136526558137</v>
      </c>
      <c r="K123">
        <v>121</v>
      </c>
      <c r="L123">
        <f t="shared" ca="1" si="10"/>
        <v>108211.79314449815</v>
      </c>
      <c r="M123">
        <f t="shared" ca="1" si="11"/>
        <v>4110.963591905268</v>
      </c>
      <c r="N123">
        <f t="shared" ca="1" si="12"/>
        <v>258.34225957560733</v>
      </c>
      <c r="O123" s="4">
        <f t="shared" ca="1" si="13"/>
        <v>-4.9043679968336938E-2</v>
      </c>
      <c r="P123" s="4">
        <f t="shared" ca="1" si="14"/>
        <v>-1.8388686581563285E-2</v>
      </c>
      <c r="Q123" s="4">
        <f t="shared" ca="1" si="15"/>
        <v>-2.3830855344101814E-2</v>
      </c>
      <c r="R123" s="4" cm="1">
        <f t="array" aca="1" ref="R123" ca="1">_xlfn._xlws.SORT(SUMPRODUCT($U$2:$W$2,O123:Q123))</f>
        <v>-2.9217835226356941E-2</v>
      </c>
      <c r="S123" s="4">
        <f ca="1"/>
        <v>-1.2203900658159022E-3</v>
      </c>
    </row>
    <row r="124" spans="1:19" x14ac:dyDescent="0.25">
      <c r="A124" s="4">
        <f>IFERROR(Merged_data[[#This Row],[BTCUSD_Close]]/Merged_data!D123-1,"")</f>
        <v>5.4144599194496656E-3</v>
      </c>
      <c r="B124" s="4">
        <f>IFERROR(Merged_data[[#This Row],[XAUUSD_Close]]/Merged_data!C123-1, "")</f>
        <v>-2.7455074589785688E-2</v>
      </c>
      <c r="C124" s="4">
        <f>IFERROR(Merged_data[[#This Row],[AAPL_Close]]/Merged_data!B123-1,"")</f>
        <v>2.4331631120456443E-2</v>
      </c>
      <c r="D124" s="4">
        <f t="shared" si="8"/>
        <v>-2.0582025239424444E-3</v>
      </c>
      <c r="E124">
        <f t="shared" ca="1" si="9"/>
        <v>-0.90463575476935332</v>
      </c>
      <c r="F124">
        <f t="shared" ca="1" si="9"/>
        <v>0.32051846455584343</v>
      </c>
      <c r="G124">
        <f t="shared" ca="1" si="9"/>
        <v>1.1418201591365651</v>
      </c>
      <c r="H124">
        <f ca="1"/>
        <v>-0.90463575476935332</v>
      </c>
      <c r="I124">
        <f ca="1"/>
        <v>0.27257985060212647</v>
      </c>
      <c r="J124">
        <f ca="1"/>
        <v>0.85332497511986594</v>
      </c>
      <c r="K124">
        <v>122</v>
      </c>
      <c r="L124">
        <f t="shared" ca="1" si="10"/>
        <v>107325.5872388998</v>
      </c>
      <c r="M124">
        <f t="shared" ca="1" si="11"/>
        <v>4134.4187060540744</v>
      </c>
      <c r="N124">
        <f t="shared" ca="1" si="12"/>
        <v>265.90837017885872</v>
      </c>
      <c r="O124" s="4">
        <f t="shared" ca="1" si="13"/>
        <v>-8.2232687243881785E-3</v>
      </c>
      <c r="P124" s="4">
        <f t="shared" ca="1" si="14"/>
        <v>5.689288032365754E-3</v>
      </c>
      <c r="Q124" s="4">
        <f t="shared" ca="1" si="15"/>
        <v>2.8866483141244275E-2</v>
      </c>
      <c r="R124" s="4" cm="1">
        <f t="array" aca="1" ref="R124" ca="1">_xlfn._xlws.SORT(SUMPRODUCT($U$2:$W$2,O124:Q124))</f>
        <v>8.4686795380031314E-3</v>
      </c>
      <c r="S124" s="4">
        <f ca="1"/>
        <v>-8.176678251522549E-4</v>
      </c>
    </row>
    <row r="125" spans="1:19" x14ac:dyDescent="0.25">
      <c r="A125" s="4">
        <f>IFERROR(Merged_data[[#This Row],[BTCUSD_Close]]/Merged_data!D124-1,"")</f>
        <v>-1.4094176474488407E-3</v>
      </c>
      <c r="B125" s="4">
        <f>IFERROR(Merged_data[[#This Row],[XAUUSD_Close]]/Merged_data!C124-1, "")</f>
        <v>1.8631037639166292E-2</v>
      </c>
      <c r="C125" s="4">
        <f>IFERROR(Merged_data[[#This Row],[AAPL_Close]]/Merged_data!B124-1,"")</f>
        <v>1.842619745845564E-2</v>
      </c>
      <c r="D125" s="4">
        <f t="shared" si="8"/>
        <v>1.2557448998968556E-2</v>
      </c>
      <c r="E125">
        <f t="shared" ca="1" si="9"/>
        <v>-0.38605749012783047</v>
      </c>
      <c r="F125">
        <f t="shared" ca="1" si="9"/>
        <v>-1.2688002222049772</v>
      </c>
      <c r="G125">
        <f t="shared" ca="1" si="9"/>
        <v>-0.2585843451296499</v>
      </c>
      <c r="H125">
        <f ca="1"/>
        <v>-0.38605749012783047</v>
      </c>
      <c r="I125">
        <f ca="1"/>
        <v>-1.2873195836664648</v>
      </c>
      <c r="J125">
        <f ca="1"/>
        <v>-0.34897131277446214</v>
      </c>
      <c r="K125">
        <v>123</v>
      </c>
      <c r="L125">
        <f t="shared" ca="1" si="10"/>
        <v>108844.90317994553</v>
      </c>
      <c r="M125">
        <f t="shared" ca="1" si="11"/>
        <v>4056.4923965026228</v>
      </c>
      <c r="N125">
        <f t="shared" ca="1" si="12"/>
        <v>259.40021867290301</v>
      </c>
      <c r="O125" s="4">
        <f t="shared" ca="1" si="13"/>
        <v>1.4056876639864244E-2</v>
      </c>
      <c r="P125" s="4">
        <f t="shared" ca="1" si="14"/>
        <v>-1.9028081193728764E-2</v>
      </c>
      <c r="Q125" s="4">
        <f t="shared" ca="1" si="15"/>
        <v>-2.4779661548444788E-2</v>
      </c>
      <c r="R125" s="4" cm="1">
        <f t="array" aca="1" ref="R125" ca="1">_xlfn._xlws.SORT(SUMPRODUCT($U$2:$W$2,O125:Q125))</f>
        <v>-1.0828067950065669E-2</v>
      </c>
      <c r="S125" s="4">
        <f ca="1"/>
        <v>-7.3667232724206489E-4</v>
      </c>
    </row>
    <row r="126" spans="1:19" x14ac:dyDescent="0.25">
      <c r="A126" s="4">
        <f>IFERROR(Merged_data[[#This Row],[BTCUSD_Close]]/Merged_data!D125-1,"")</f>
        <v>2.0896960870403269E-2</v>
      </c>
      <c r="B126" s="4">
        <f>IFERROR(Merged_data[[#This Row],[XAUUSD_Close]]/Merged_data!C125-1, "")</f>
        <v>-1.331802800039994E-2</v>
      </c>
      <c r="C126" s="4">
        <f>IFERROR(Merged_data[[#This Row],[AAPL_Close]]/Merged_data!B125-1,"")</f>
        <v>4.367231367279345E-3</v>
      </c>
      <c r="D126" s="4">
        <f t="shared" si="8"/>
        <v>2.2520464711448078E-3</v>
      </c>
      <c r="E126">
        <f t="shared" ca="1" si="9"/>
        <v>-0.27257863149232275</v>
      </c>
      <c r="F126">
        <f t="shared" ca="1" si="9"/>
        <v>-0.18718370632518622</v>
      </c>
      <c r="G126">
        <f t="shared" ca="1" si="9"/>
        <v>-7.9299631952186825E-2</v>
      </c>
      <c r="H126">
        <f ca="1"/>
        <v>-0.27257863149232275</v>
      </c>
      <c r="I126">
        <f ca="1"/>
        <v>-0.20123686132922924</v>
      </c>
      <c r="J126">
        <f ca="1"/>
        <v>-0.14944273623084048</v>
      </c>
      <c r="K126">
        <v>124</v>
      </c>
      <c r="L126">
        <f t="shared" ca="1" si="10"/>
        <v>109180.10213642169</v>
      </c>
      <c r="M126">
        <f t="shared" ca="1" si="11"/>
        <v>4110.5896551068872</v>
      </c>
      <c r="N126">
        <f t="shared" ca="1" si="12"/>
        <v>260.46889783976286</v>
      </c>
      <c r="O126" s="4">
        <f t="shared" ca="1" si="13"/>
        <v>3.0748695095188694E-3</v>
      </c>
      <c r="P126" s="4">
        <f t="shared" ca="1" si="14"/>
        <v>1.324782816061339E-2</v>
      </c>
      <c r="Q126" s="4">
        <f t="shared" ca="1" si="15"/>
        <v>4.1113450991895773E-3</v>
      </c>
      <c r="R126" s="4" cm="1">
        <f t="array" aca="1" ref="R126" ca="1">_xlfn._xlws.SORT(SUMPRODUCT($U$2:$W$2,O126:Q126))</f>
        <v>7.4549956468578909E-3</v>
      </c>
      <c r="S126" s="4">
        <f ca="1"/>
        <v>-4.0407863812619922E-4</v>
      </c>
    </row>
    <row r="127" spans="1:19" x14ac:dyDescent="0.25">
      <c r="A127" s="4">
        <f>IFERROR(Merged_data[[#This Row],[BTCUSD_Close]]/Merged_data!D126-1,"")</f>
        <v>-8.3108333490674591E-3</v>
      </c>
      <c r="B127" s="4">
        <f>IFERROR(Merged_data[[#This Row],[XAUUSD_Close]]/Merged_data!C126-1, "")</f>
        <v>1.1770098805289564E-2</v>
      </c>
      <c r="C127" s="4">
        <f>IFERROR(Merged_data[[#This Row],[AAPL_Close]]/Merged_data!B126-1,"")</f>
        <v>4.1093272171253137E-3</v>
      </c>
      <c r="D127" s="4">
        <f t="shared" si="8"/>
        <v>3.447587682533183E-3</v>
      </c>
      <c r="E127">
        <f t="shared" ca="1" si="9"/>
        <v>-0.75187024062101793</v>
      </c>
      <c r="F127">
        <f t="shared" ca="1" si="9"/>
        <v>1.3045992191637537</v>
      </c>
      <c r="G127">
        <f t="shared" ca="1" si="9"/>
        <v>0.30205347047754544</v>
      </c>
      <c r="H127">
        <f ca="1"/>
        <v>-0.75187024062101793</v>
      </c>
      <c r="I127">
        <f ca="1"/>
        <v>1.2633240253831099</v>
      </c>
      <c r="J127">
        <f ca="1"/>
        <v>8.2792385078989866E-2</v>
      </c>
      <c r="K127">
        <v>125</v>
      </c>
      <c r="L127">
        <f t="shared" ca="1" si="10"/>
        <v>107770.50816653113</v>
      </c>
      <c r="M127">
        <f t="shared" ca="1" si="11"/>
        <v>4184.6832861973198</v>
      </c>
      <c r="N127">
        <f t="shared" ca="1" si="12"/>
        <v>261.7183362182094</v>
      </c>
      <c r="O127" s="4">
        <f t="shared" ca="1" si="13"/>
        <v>-1.2994789954627481E-2</v>
      </c>
      <c r="P127" s="4">
        <f t="shared" ca="1" si="14"/>
        <v>1.7864536136315945E-2</v>
      </c>
      <c r="Q127" s="4">
        <f t="shared" ca="1" si="15"/>
        <v>4.7854128991219975E-3</v>
      </c>
      <c r="R127" s="4" cm="1">
        <f t="array" aca="1" ref="R127" ca="1">_xlfn._xlws.SORT(SUMPRODUCT($U$2:$W$2,O127:Q127))</f>
        <v>4.6830013378747343E-3</v>
      </c>
      <c r="S127" s="4">
        <f ca="1"/>
        <v>-1.1089079193859954E-4</v>
      </c>
    </row>
    <row r="128" spans="1:19" x14ac:dyDescent="0.25">
      <c r="A128" s="4">
        <f>IFERROR(Merged_data[[#This Row],[BTCUSD_Close]]/Merged_data!D127-1,"")</f>
        <v>1.9610518599846305E-3</v>
      </c>
      <c r="B128" s="4">
        <f>IFERROR(Merged_data[[#This Row],[XAUUSD_Close]]/Merged_data!C127-1, "")</f>
        <v>-7.9667811542563083E-3</v>
      </c>
      <c r="C128" s="4">
        <f>IFERROR(Merged_data[[#This Row],[AAPL_Close]]/Merged_data!B127-1,"")</f>
        <v>5.0918435328828338E-3</v>
      </c>
      <c r="D128" s="4">
        <f t="shared" si="8"/>
        <v>-1.0708438438422844E-3</v>
      </c>
      <c r="E128">
        <f t="shared" ca="1" si="9"/>
        <v>-0.29265031716065409</v>
      </c>
      <c r="F128">
        <f t="shared" ca="1" si="9"/>
        <v>-0.75888373102804052</v>
      </c>
      <c r="G128">
        <f t="shared" ca="1" si="9"/>
        <v>-0.51804218122383161</v>
      </c>
      <c r="H128">
        <f ca="1"/>
        <v>-0.29265031716065409</v>
      </c>
      <c r="I128">
        <f ca="1"/>
        <v>-0.773202196924753</v>
      </c>
      <c r="J128">
        <f ca="1"/>
        <v>-0.57525329010147996</v>
      </c>
      <c r="K128">
        <v>126</v>
      </c>
      <c r="L128">
        <f t="shared" ca="1" si="10"/>
        <v>109120.38788298408</v>
      </c>
      <c r="M128">
        <f t="shared" ca="1" si="11"/>
        <v>4082.007936058154</v>
      </c>
      <c r="N128">
        <f t="shared" ca="1" si="12"/>
        <v>258.19264233877442</v>
      </c>
      <c r="O128" s="4">
        <f t="shared" ca="1" si="13"/>
        <v>1.2447706849851341E-2</v>
      </c>
      <c r="P128" s="4">
        <f t="shared" ca="1" si="14"/>
        <v>-2.4842014204652887E-2</v>
      </c>
      <c r="Q128" s="4">
        <f t="shared" ca="1" si="15"/>
        <v>-1.3562890845637077E-2</v>
      </c>
      <c r="R128" s="4" cm="1">
        <f t="array" aca="1" ref="R128" ca="1">_xlfn._xlws.SORT(SUMPRODUCT($U$2:$W$2,O128:Q128))</f>
        <v>-1.0271360880596877E-2</v>
      </c>
      <c r="S128" s="4">
        <f ca="1"/>
        <v>-2.8220611640745671E-5</v>
      </c>
    </row>
    <row r="129" spans="1:19" x14ac:dyDescent="0.25">
      <c r="A129" s="4">
        <f>IFERROR(Merged_data[[#This Row],[BTCUSD_Close]]/Merged_data!D128-1,"")</f>
        <v>-3.4457094899525975E-3</v>
      </c>
      <c r="B129" s="4">
        <f>IFERROR(Merged_data[[#This Row],[XAUUSD_Close]]/Merged_data!C128-1, "")</f>
        <v>-8.6954686795819303E-3</v>
      </c>
      <c r="C129" s="4">
        <f>IFERROR(Merged_data[[#This Row],[AAPL_Close]]/Merged_data!B128-1,"")</f>
        <v>6.1076653567539996E-3</v>
      </c>
      <c r="D129" s="4">
        <f t="shared" si="8"/>
        <v>-2.6796007117923515E-3</v>
      </c>
      <c r="E129">
        <f t="shared" ca="1" si="9"/>
        <v>-0.23514071438434336</v>
      </c>
      <c r="F129">
        <f t="shared" ca="1" si="9"/>
        <v>-1.3094585230218805</v>
      </c>
      <c r="G129">
        <f t="shared" ca="1" si="9"/>
        <v>-0.10473884539276639</v>
      </c>
      <c r="H129">
        <f ca="1"/>
        <v>-0.23514071438434336</v>
      </c>
      <c r="I129">
        <f ca="1"/>
        <v>-1.3199981484572931</v>
      </c>
      <c r="J129">
        <f ca="1"/>
        <v>-0.15988865421371753</v>
      </c>
      <c r="K129">
        <v>127</v>
      </c>
      <c r="L129">
        <f t="shared" ca="1" si="10"/>
        <v>109290.48359618148</v>
      </c>
      <c r="M129">
        <f t="shared" ca="1" si="11"/>
        <v>4054.8708905349622</v>
      </c>
      <c r="N129">
        <f t="shared" ca="1" si="12"/>
        <v>260.41216226872348</v>
      </c>
      <c r="O129" s="4">
        <f t="shared" ca="1" si="13"/>
        <v>1.5575758334163135E-3</v>
      </c>
      <c r="P129" s="4">
        <f t="shared" ca="1" si="14"/>
        <v>-6.6701610566927061E-3</v>
      </c>
      <c r="Q129" s="4">
        <f t="shared" ca="1" si="15"/>
        <v>8.5596333151440312E-3</v>
      </c>
      <c r="R129" s="4" cm="1">
        <f t="array" aca="1" ref="R129" ca="1">_xlfn._xlws.SORT(SUMPRODUCT($U$2:$W$2,O129:Q129))</f>
        <v>3.6709832189102095E-4</v>
      </c>
      <c r="S129" s="4">
        <f ca="1"/>
        <v>2.0958020825107265E-4</v>
      </c>
    </row>
    <row r="130" spans="1:19" x14ac:dyDescent="0.25">
      <c r="A130" s="4">
        <f>IFERROR(Merged_data[[#This Row],[BTCUSD_Close]]/Merged_data!D129-1,"")</f>
        <v>2.1770104057093009E-2</v>
      </c>
      <c r="B130" s="4">
        <f>IFERROR(Merged_data[[#This Row],[XAUUSD_Close]]/Merged_data!C129-1, "")</f>
        <v>-1.5037708307991782E-2</v>
      </c>
      <c r="C130" s="4">
        <f>IFERROR(Merged_data[[#This Row],[AAPL_Close]]/Merged_data!B129-1,"")</f>
        <v>3.8588235294116924E-3</v>
      </c>
      <c r="D130" s="4">
        <f t="shared" si="8"/>
        <v>1.6735949527546972E-3</v>
      </c>
      <c r="E130">
        <f t="shared" ca="1" si="9"/>
        <v>2.1181334696131295</v>
      </c>
      <c r="F130">
        <f t="shared" ca="1" si="9"/>
        <v>-2.6720693454064953E-2</v>
      </c>
      <c r="G130">
        <f t="shared" ca="1" si="9"/>
        <v>0.68126829312833181</v>
      </c>
      <c r="H130">
        <f ca="1"/>
        <v>2.1181334696131295</v>
      </c>
      <c r="I130">
        <f ca="1"/>
        <v>8.4525564299796491E-2</v>
      </c>
      <c r="J130">
        <f ca="1"/>
        <v>1.2290702776889069</v>
      </c>
      <c r="K130">
        <v>128</v>
      </c>
      <c r="L130">
        <f t="shared" ca="1" si="10"/>
        <v>116489.80177210494</v>
      </c>
      <c r="M130">
        <f t="shared" ca="1" si="11"/>
        <v>4124.9382303234115</v>
      </c>
      <c r="N130">
        <f t="shared" ca="1" si="12"/>
        <v>267.97417334306601</v>
      </c>
      <c r="O130" s="4">
        <f t="shared" ca="1" si="13"/>
        <v>6.3794406168809395E-2</v>
      </c>
      <c r="P130" s="4">
        <f t="shared" ca="1" si="14"/>
        <v>1.7132197719130302E-2</v>
      </c>
      <c r="Q130" s="4">
        <f t="shared" ca="1" si="15"/>
        <v>2.8624992399455963E-2</v>
      </c>
      <c r="R130" s="4" cm="1">
        <f t="array" aca="1" ref="R130" ca="1">_xlfn._xlws.SORT(SUMPRODUCT($U$2:$W$2,O130:Q130))</f>
        <v>3.4578698658131728E-2</v>
      </c>
      <c r="S130" s="4">
        <f ca="1"/>
        <v>2.4885864096725434E-4</v>
      </c>
    </row>
    <row r="131" spans="1:19" x14ac:dyDescent="0.25">
      <c r="A131" s="4">
        <f>IFERROR(Merged_data[[#This Row],[BTCUSD_Close]]/Merged_data!D130-1,"")</f>
        <v>4.9826240575936431E-3</v>
      </c>
      <c r="B131" s="4">
        <f>IFERROR(Merged_data[[#This Row],[XAUUSD_Close]]/Merged_data!C130-1, "")</f>
        <v>-1.6301579215485251E-3</v>
      </c>
      <c r="C131" s="4">
        <f>IFERROR(Merged_data[[#This Row],[AAPL_Close]]/Merged_data!B130-1,"")</f>
        <v>-3.7361710106881718E-2</v>
      </c>
      <c r="D131" s="4">
        <f t="shared" si="8"/>
        <v>-1.0365788983405833E-2</v>
      </c>
      <c r="E131">
        <f t="shared" ca="1" si="9"/>
        <v>-0.3049660186680283</v>
      </c>
      <c r="F131">
        <f t="shared" ca="1" si="9"/>
        <v>0.66684873259576416</v>
      </c>
      <c r="G131">
        <f t="shared" ca="1" si="9"/>
        <v>-0.32457352568894421</v>
      </c>
      <c r="H131">
        <f ca="1"/>
        <v>-0.3049660186680283</v>
      </c>
      <c r="I131">
        <f ca="1"/>
        <v>0.64991719432645778</v>
      </c>
      <c r="J131">
        <f ca="1"/>
        <v>-0.39730774055840345</v>
      </c>
      <c r="K131">
        <v>129</v>
      </c>
      <c r="L131">
        <f t="shared" ca="1" si="10"/>
        <v>109083.47884439038</v>
      </c>
      <c r="M131">
        <f t="shared" ca="1" si="11"/>
        <v>4153.4837516621783</v>
      </c>
      <c r="N131">
        <f t="shared" ca="1" si="12"/>
        <v>259.14060851259524</v>
      </c>
      <c r="O131" s="4">
        <f t="shared" ca="1" si="13"/>
        <v>-6.5690280672173987E-2</v>
      </c>
      <c r="P131" s="4">
        <f t="shared" ca="1" si="14"/>
        <v>6.8963951189833107E-3</v>
      </c>
      <c r="Q131" s="4">
        <f t="shared" ca="1" si="15"/>
        <v>-3.3519803346172744E-2</v>
      </c>
      <c r="R131" s="4" cm="1">
        <f t="array" aca="1" ref="R131" ca="1">_xlfn._xlws.SORT(SUMPRODUCT($U$2:$W$2,O131:Q131))</f>
        <v>-2.7004467157910689E-2</v>
      </c>
      <c r="S131" s="4">
        <f ca="1"/>
        <v>3.6709832189102095E-4</v>
      </c>
    </row>
    <row r="132" spans="1:19" x14ac:dyDescent="0.25">
      <c r="A132" s="4">
        <f>IFERROR(Merged_data[[#This Row],[BTCUSD_Close]]/Merged_data!D131-1,"")</f>
        <v>-2.3438193113380246E-2</v>
      </c>
      <c r="B132" s="4">
        <f>IFERROR(Merged_data[[#This Row],[XAUUSD_Close]]/Merged_data!C131-1, "")</f>
        <v>3.1000380372765202E-2</v>
      </c>
      <c r="C132" s="4">
        <f>IFERROR(Merged_data[[#This Row],[AAPL_Close]]/Merged_data!B131-1,"")</f>
        <v>-3.1458485512539602E-2</v>
      </c>
      <c r="D132" s="4">
        <f t="shared" ref="D132:D195" si="16">SUMPRODUCT(A132:C132,$U$2:$W$2)</f>
        <v>-4.0688514386698722E-3</v>
      </c>
      <c r="E132">
        <f t="shared" ref="E132:G195" ca="1" si="17">_xlfn.NORM.S.INV(RAND())</f>
        <v>-0.22628063940754642</v>
      </c>
      <c r="F132">
        <f t="shared" ca="1" si="17"/>
        <v>0.62421939767119494</v>
      </c>
      <c r="G132">
        <f t="shared" ca="1" si="17"/>
        <v>0.94754164323215262</v>
      </c>
      <c r="H132">
        <f ca="1"/>
        <v>-0.22628063940754642</v>
      </c>
      <c r="I132">
        <f ca="1"/>
        <v>0.61147791347171787</v>
      </c>
      <c r="J132">
        <f ca="1"/>
        <v>0.84878545155142771</v>
      </c>
      <c r="K132">
        <v>130</v>
      </c>
      <c r="L132">
        <f t="shared" ref="L132:L195" ca="1" si="18">$U$18*EXP(($U$16-(($U$17)^2/2))*K132/249+$U$17*H132)</f>
        <v>109316.25341748797</v>
      </c>
      <c r="M132">
        <f t="shared" ref="M132:M195" ca="1" si="19">$V$18*EXP(($V$16-(($V$17)^2/2))*K132/249+$V$17*I132)</f>
        <v>4151.5354593394923</v>
      </c>
      <c r="N132">
        <f t="shared" ref="N132:N195" ca="1" si="20">$W$18*EXP(($W$16-(($W$17)^2/2))*K132/249+$W$17*J132)</f>
        <v>265.88167937347953</v>
      </c>
      <c r="O132" s="4">
        <f t="shared" ca="1" si="13"/>
        <v>2.1316387051259897E-3</v>
      </c>
      <c r="P132" s="4">
        <f t="shared" ca="1" si="14"/>
        <v>-4.6918431105992406E-4</v>
      </c>
      <c r="Q132" s="4">
        <f t="shared" ca="1" si="15"/>
        <v>2.5680591038928228E-2</v>
      </c>
      <c r="R132" s="4" cm="1">
        <f t="array" aca="1" ref="R132" ca="1">_xlfn._xlws.SORT(SUMPRODUCT($U$2:$W$2,O132:Q132))</f>
        <v>8.1559951987922961E-3</v>
      </c>
      <c r="S132" s="4">
        <f ca="1"/>
        <v>6.2431137385313184E-4</v>
      </c>
    </row>
    <row r="133" spans="1:19" x14ac:dyDescent="0.25">
      <c r="A133" s="4">
        <f>IFERROR(Merged_data[[#This Row],[BTCUSD_Close]]/Merged_data!D132-1,"")</f>
        <v>1.700755727109815E-4</v>
      </c>
      <c r="B133" s="4">
        <f>IFERROR(Merged_data[[#This Row],[XAUUSD_Close]]/Merged_data!C132-1, "")</f>
        <v>2.9349878446211175E-2</v>
      </c>
      <c r="C133" s="4">
        <f>IFERROR(Merged_data[[#This Row],[AAPL_Close]]/Merged_data!B132-1,"")</f>
        <v>-1.9106038513750923E-3</v>
      </c>
      <c r="D133" s="4">
        <f t="shared" si="16"/>
        <v>1.1217792894885238E-2</v>
      </c>
      <c r="E133">
        <f t="shared" ca="1" si="17"/>
        <v>0.52905947228757866</v>
      </c>
      <c r="F133">
        <f t="shared" ca="1" si="17"/>
        <v>-1.7856756887279925</v>
      </c>
      <c r="G133">
        <f t="shared" ca="1" si="17"/>
        <v>2.1209627063255073E-2</v>
      </c>
      <c r="H133">
        <f ca="1"/>
        <v>0.52905947228757866</v>
      </c>
      <c r="I133">
        <f ca="1"/>
        <v>-1.755435308977574</v>
      </c>
      <c r="J133">
        <f ca="1"/>
        <v>0.16979962421150432</v>
      </c>
      <c r="K133">
        <v>131</v>
      </c>
      <c r="L133">
        <f t="shared" ca="1" si="18"/>
        <v>111577.61418877826</v>
      </c>
      <c r="M133">
        <f t="shared" ca="1" si="19"/>
        <v>4033.3857262795118</v>
      </c>
      <c r="N133">
        <f t="shared" ca="1" si="20"/>
        <v>262.18672403453854</v>
      </c>
      <c r="O133" s="4">
        <f t="shared" ref="O133:O196" ca="1" si="21">LN(L133/L132)</f>
        <v>2.0475351349989374E-2</v>
      </c>
      <c r="P133" s="4">
        <f t="shared" ref="P133:P196" ca="1" si="22">LN(M133/M132)</f>
        <v>-2.8872102178525271E-2</v>
      </c>
      <c r="Q133" s="4">
        <f t="shared" ref="Q133:Q196" ca="1" si="23">LN(N133/N132)</f>
        <v>-1.3994458362085443E-2</v>
      </c>
      <c r="R133" s="4" cm="1">
        <f t="array" aca="1" ref="R133" ca="1">_xlfn._xlws.SORT(SUMPRODUCT($U$2:$W$2,O133:Q133))</f>
        <v>-9.6045729750389303E-3</v>
      </c>
      <c r="S133" s="4">
        <f ca="1"/>
        <v>7.2347499358327988E-4</v>
      </c>
    </row>
    <row r="134" spans="1:19" x14ac:dyDescent="0.25">
      <c r="A134" s="4">
        <f>IFERROR(Merged_data[[#This Row],[BTCUSD_Close]]/Merged_data!D133-1,"")</f>
        <v>2.5785832050942314E-2</v>
      </c>
      <c r="B134" s="4">
        <f>IFERROR(Merged_data[[#This Row],[XAUUSD_Close]]/Merged_data!C133-1, "")</f>
        <v>-1.9605072025619341E-2</v>
      </c>
      <c r="C134" s="4">
        <f>IFERROR(Merged_data[[#This Row],[AAPL_Close]]/Merged_data!B133-1,"")</f>
        <v>-1.1384816885799176E-2</v>
      </c>
      <c r="D134" s="4">
        <f t="shared" si="16"/>
        <v>-3.5217242607047949E-3</v>
      </c>
      <c r="E134">
        <f t="shared" ca="1" si="17"/>
        <v>-1.2801506966508489</v>
      </c>
      <c r="F134">
        <f t="shared" ca="1" si="17"/>
        <v>-0.85194320049253369</v>
      </c>
      <c r="G134">
        <f t="shared" ca="1" si="17"/>
        <v>-0.74018088295590723</v>
      </c>
      <c r="H134">
        <f ca="1"/>
        <v>-1.2801506966508489</v>
      </c>
      <c r="I134">
        <f ca="1"/>
        <v>-0.91798053118359102</v>
      </c>
      <c r="J134">
        <f ca="1"/>
        <v>-1.0559782901226835</v>
      </c>
      <c r="K134">
        <v>132</v>
      </c>
      <c r="L134">
        <f t="shared" ca="1" si="18"/>
        <v>106236.98844198868</v>
      </c>
      <c r="M134">
        <f t="shared" ca="1" si="19"/>
        <v>4074.7980930642416</v>
      </c>
      <c r="N134">
        <f t="shared" ca="1" si="20"/>
        <v>255.64591162517661</v>
      </c>
      <c r="O134" s="4">
        <f t="shared" ca="1" si="21"/>
        <v>-4.9048101537098932E-2</v>
      </c>
      <c r="P134" s="4">
        <f t="shared" ca="1" si="22"/>
        <v>1.0215043914128452E-2</v>
      </c>
      <c r="Q134" s="4">
        <f t="shared" ca="1" si="23"/>
        <v>-2.5263607755122611E-2</v>
      </c>
      <c r="R134" s="4" cm="1">
        <f t="array" aca="1" ref="R134" ca="1">_xlfn._xlws.SORT(SUMPRODUCT($U$2:$W$2,O134:Q134))</f>
        <v>-1.8207495222015081E-2</v>
      </c>
      <c r="S134" s="4">
        <f ca="1"/>
        <v>9.691745286395971E-4</v>
      </c>
    </row>
    <row r="135" spans="1:19" x14ac:dyDescent="0.25">
      <c r="A135" s="4">
        <f>IFERROR(Merged_data[[#This Row],[BTCUSD_Close]]/Merged_data!D134-1,"")</f>
        <v>5.8243660247546014E-2</v>
      </c>
      <c r="B135" s="4">
        <f>IFERROR(Merged_data[[#This Row],[XAUUSD_Close]]/Merged_data!C134-1, "")</f>
        <v>-1.752868566808885E-2</v>
      </c>
      <c r="C135" s="4">
        <f>IFERROR(Merged_data[[#This Row],[AAPL_Close]]/Merged_data!B134-1,"")</f>
        <v>6.3184713375796786E-3</v>
      </c>
      <c r="D135" s="4">
        <f t="shared" si="16"/>
        <v>1.2357165208302167E-2</v>
      </c>
      <c r="E135">
        <f t="shared" ca="1" si="17"/>
        <v>-0.18915369705970037</v>
      </c>
      <c r="F135">
        <f t="shared" ca="1" si="17"/>
        <v>0.17505111319446376</v>
      </c>
      <c r="G135">
        <f t="shared" ca="1" si="17"/>
        <v>-1.2307408126509711</v>
      </c>
      <c r="H135">
        <f ca="1"/>
        <v>-0.18915369705970037</v>
      </c>
      <c r="I135">
        <f ca="1"/>
        <v>0.16487844272563101</v>
      </c>
      <c r="J135">
        <f ca="1"/>
        <v>-1.2366149328908094</v>
      </c>
      <c r="K135">
        <v>133</v>
      </c>
      <c r="L135">
        <f t="shared" ca="1" si="18"/>
        <v>109425.85002530047</v>
      </c>
      <c r="M135">
        <f t="shared" ca="1" si="19"/>
        <v>4128.9771066475114</v>
      </c>
      <c r="N135">
        <f t="shared" ca="1" si="20"/>
        <v>254.69573406854491</v>
      </c>
      <c r="O135" s="4">
        <f t="shared" ca="1" si="21"/>
        <v>2.9574812572524336E-2</v>
      </c>
      <c r="P135" s="4">
        <f t="shared" ca="1" si="22"/>
        <v>1.3208504610458822E-2</v>
      </c>
      <c r="Q135" s="4">
        <f t="shared" ca="1" si="23"/>
        <v>-3.7236963221499672E-3</v>
      </c>
      <c r="R135" s="4" cm="1">
        <f t="array" aca="1" ref="R135" ca="1">_xlfn._xlws.SORT(SUMPRODUCT($U$2:$W$2,O135:Q135))</f>
        <v>1.303873671929584E-2</v>
      </c>
      <c r="S135" s="4">
        <f ca="1"/>
        <v>1.0872890171748034E-3</v>
      </c>
    </row>
    <row r="136" spans="1:19" x14ac:dyDescent="0.25">
      <c r="A136" s="4">
        <f>IFERROR(Merged_data[[#This Row],[BTCUSD_Close]]/Merged_data!D135-1,"")</f>
        <v>3.9502617291637954E-3</v>
      </c>
      <c r="B136" s="4">
        <f>IFERROR(Merged_data[[#This Row],[XAUUSD_Close]]/Merged_data!C135-1, "")</f>
        <v>7.0896775384130528E-3</v>
      </c>
      <c r="C136" s="4">
        <f>IFERROR(Merged_data[[#This Row],[AAPL_Close]]/Merged_data!B135-1,"")</f>
        <v>5.2660894222491539E-3</v>
      </c>
      <c r="D136" s="4">
        <f t="shared" si="16"/>
        <v>5.6007763607891061E-3</v>
      </c>
      <c r="E136">
        <f t="shared" ca="1" si="17"/>
        <v>0.96352591126868936</v>
      </c>
      <c r="F136">
        <f t="shared" ca="1" si="17"/>
        <v>-1.3842116677405301</v>
      </c>
      <c r="G136">
        <f t="shared" ca="1" si="17"/>
        <v>0.22988717032814268</v>
      </c>
      <c r="H136">
        <f ca="1"/>
        <v>0.96352591126868936</v>
      </c>
      <c r="I136">
        <f ca="1"/>
        <v>-1.3317140059927401</v>
      </c>
      <c r="J136">
        <f ca="1"/>
        <v>0.48684968457579947</v>
      </c>
      <c r="K136">
        <v>134</v>
      </c>
      <c r="L136">
        <f t="shared" ca="1" si="18"/>
        <v>112899.05976049007</v>
      </c>
      <c r="M136">
        <f t="shared" ca="1" si="19"/>
        <v>4054.2829668626778</v>
      </c>
      <c r="N136">
        <f t="shared" ca="1" si="20"/>
        <v>263.90485580086784</v>
      </c>
      <c r="O136" s="4">
        <f t="shared" ca="1" si="21"/>
        <v>3.1246991891791372E-2</v>
      </c>
      <c r="P136" s="4">
        <f t="shared" ca="1" si="22"/>
        <v>-1.8255857344065044E-2</v>
      </c>
      <c r="Q136" s="4">
        <f t="shared" ca="1" si="23"/>
        <v>3.5519010497198446E-2</v>
      </c>
      <c r="R136" s="4" cm="1">
        <f t="array" aca="1" ref="R136" ca="1">_xlfn._xlws.SORT(SUMPRODUCT($U$2:$W$2,O136:Q136))</f>
        <v>1.2727457779070925E-2</v>
      </c>
      <c r="S136" s="4">
        <f ca="1"/>
        <v>1.3296894614625533E-3</v>
      </c>
    </row>
    <row r="137" spans="1:19" x14ac:dyDescent="0.25">
      <c r="A137" s="4">
        <f>IFERROR(Merged_data[[#This Row],[BTCUSD_Close]]/Merged_data!D136-1,"")</f>
        <v>-6.8033803690494832E-3</v>
      </c>
      <c r="B137" s="4">
        <f>IFERROR(Merged_data[[#This Row],[XAUUSD_Close]]/Merged_data!C136-1, "")</f>
        <v>-2.7945790633368883E-2</v>
      </c>
      <c r="C137" s="4">
        <f>IFERROR(Merged_data[[#This Row],[AAPL_Close]]/Merged_data!B136-1,"")</f>
        <v>6.1753891099581848E-2</v>
      </c>
      <c r="D137" s="4">
        <f t="shared" si="16"/>
        <v>5.3068369658121565E-3</v>
      </c>
      <c r="E137">
        <f t="shared" ca="1" si="17"/>
        <v>0.65326034818131384</v>
      </c>
      <c r="F137">
        <f t="shared" ca="1" si="17"/>
        <v>0.23503833657707149</v>
      </c>
      <c r="G137">
        <f t="shared" ca="1" si="17"/>
        <v>-0.56988584240874829</v>
      </c>
      <c r="H137">
        <f ca="1"/>
        <v>0.65326034818131384</v>
      </c>
      <c r="I137">
        <f ca="1"/>
        <v>0.26901260697000479</v>
      </c>
      <c r="J137">
        <f ca="1"/>
        <v>-0.37268398222877608</v>
      </c>
      <c r="K137">
        <v>135</v>
      </c>
      <c r="L137">
        <f t="shared" ca="1" si="18"/>
        <v>111953.26976569544</v>
      </c>
      <c r="M137">
        <f t="shared" ca="1" si="19"/>
        <v>4134.2227487873088</v>
      </c>
      <c r="N137">
        <f t="shared" ca="1" si="20"/>
        <v>259.27082504574872</v>
      </c>
      <c r="O137" s="4">
        <f t="shared" ca="1" si="21"/>
        <v>-8.4125930535232148E-3</v>
      </c>
      <c r="P137" s="4">
        <f t="shared" ca="1" si="22"/>
        <v>1.9525496935561899E-2</v>
      </c>
      <c r="Q137" s="4">
        <f t="shared" ca="1" si="23"/>
        <v>-1.7715471566028471E-2</v>
      </c>
      <c r="R137" s="4" cm="1">
        <f t="array" aca="1" ref="R137" ca="1">_xlfn._xlws.SORT(SUMPRODUCT($U$2:$W$2,O137:Q137))</f>
        <v>-2.8220611640745671E-5</v>
      </c>
      <c r="S137" s="4">
        <f ca="1"/>
        <v>1.3355730104321986E-3</v>
      </c>
    </row>
    <row r="138" spans="1:19" x14ac:dyDescent="0.25">
      <c r="A138" s="4">
        <f>IFERROR(Merged_data[[#This Row],[BTCUSD_Close]]/Merged_data!D137-1,"")</f>
        <v>1.8149528697722461E-2</v>
      </c>
      <c r="B138" s="4">
        <f>IFERROR(Merged_data[[#This Row],[XAUUSD_Close]]/Merged_data!C137-1, "")</f>
        <v>4.4222422406026141E-3</v>
      </c>
      <c r="C138" s="4">
        <f>IFERROR(Merged_data[[#This Row],[AAPL_Close]]/Merged_data!B137-1,"")</f>
        <v>1.0152284263959421E-2</v>
      </c>
      <c r="D138" s="4">
        <f t="shared" si="16"/>
        <v>1.025944078474561E-2</v>
      </c>
      <c r="E138">
        <f t="shared" ca="1" si="17"/>
        <v>0.43818416694050649</v>
      </c>
      <c r="F138">
        <f t="shared" ca="1" si="17"/>
        <v>-0.38737024327529285</v>
      </c>
      <c r="G138">
        <f t="shared" ca="1" si="17"/>
        <v>1.7477458817949374</v>
      </c>
      <c r="H138">
        <f ca="1"/>
        <v>0.43818416694050649</v>
      </c>
      <c r="I138">
        <f ca="1"/>
        <v>-0.36382976042818643</v>
      </c>
      <c r="J138">
        <f ca="1"/>
        <v>1.8024544123901982</v>
      </c>
      <c r="K138">
        <v>136</v>
      </c>
      <c r="L138">
        <f t="shared" ca="1" si="18"/>
        <v>111302.25128016571</v>
      </c>
      <c r="M138">
        <f t="shared" ca="1" si="19"/>
        <v>4102.4304041859314</v>
      </c>
      <c r="N138">
        <f t="shared" ca="1" si="20"/>
        <v>271.15781225219922</v>
      </c>
      <c r="O138" s="4">
        <f t="shared" ca="1" si="21"/>
        <v>-5.8320647815154718E-3</v>
      </c>
      <c r="P138" s="4">
        <f t="shared" ca="1" si="22"/>
        <v>-7.7197623594876122E-3</v>
      </c>
      <c r="Q138" s="4">
        <f t="shared" ca="1" si="23"/>
        <v>4.4827812494731625E-2</v>
      </c>
      <c r="R138" s="4" cm="1">
        <f t="array" aca="1" ref="R138" ca="1">_xlfn._xlws.SORT(SUMPRODUCT($U$2:$W$2,O138:Q138))</f>
        <v>8.6108193701698015E-3</v>
      </c>
      <c r="S138" s="4">
        <f ca="1"/>
        <v>1.3677539774090324E-3</v>
      </c>
    </row>
    <row r="139" spans="1:19" x14ac:dyDescent="0.25">
      <c r="A139" s="4">
        <f>IFERROR(Merged_data[[#This Row],[BTCUSD_Close]]/Merged_data!D138-1,"")</f>
        <v>-6.9578884821068776E-3</v>
      </c>
      <c r="B139" s="4">
        <f>IFERROR(Merged_data[[#This Row],[XAUUSD_Close]]/Merged_data!C138-1, "")</f>
        <v>-2.2366143882346479E-2</v>
      </c>
      <c r="C139" s="4">
        <f>IFERROR(Merged_data[[#This Row],[AAPL_Close]]/Merged_data!B138-1,"")</f>
        <v>-2.8178274550321181E-3</v>
      </c>
      <c r="D139" s="4">
        <f t="shared" si="16"/>
        <v>-1.1879172334080292E-2</v>
      </c>
      <c r="E139">
        <f t="shared" ca="1" si="17"/>
        <v>0.11754744928698888</v>
      </c>
      <c r="F139">
        <f t="shared" ca="1" si="17"/>
        <v>-0.54049171814086527</v>
      </c>
      <c r="G139">
        <f t="shared" ca="1" si="17"/>
        <v>0.51139901851857361</v>
      </c>
      <c r="H139">
        <f ca="1"/>
        <v>0.11754744928698888</v>
      </c>
      <c r="I139">
        <f ca="1"/>
        <v>-0.53357458828061499</v>
      </c>
      <c r="J139">
        <f ca="1"/>
        <v>0.52601038354788932</v>
      </c>
      <c r="K139">
        <v>137</v>
      </c>
      <c r="L139">
        <f t="shared" ca="1" si="18"/>
        <v>110338.8114682093</v>
      </c>
      <c r="M139">
        <f t="shared" ca="1" si="19"/>
        <v>4093.9436346580947</v>
      </c>
      <c r="N139">
        <f t="shared" ca="1" si="20"/>
        <v>264.11725964917008</v>
      </c>
      <c r="O139" s="4">
        <f t="shared" ca="1" si="21"/>
        <v>-8.6937489666315641E-3</v>
      </c>
      <c r="P139" s="4">
        <f t="shared" ca="1" si="22"/>
        <v>-2.0708602415040198E-3</v>
      </c>
      <c r="Q139" s="4">
        <f t="shared" ca="1" si="23"/>
        <v>-2.6307814551704719E-2</v>
      </c>
      <c r="R139" s="4" cm="1">
        <f t="array" aca="1" ref="R139" ca="1">_xlfn._xlws.SORT(SUMPRODUCT($U$2:$W$2,O139:Q139))</f>
        <v>-1.1328813152102492E-2</v>
      </c>
      <c r="S139" s="4">
        <f ca="1"/>
        <v>1.6608206262986262E-3</v>
      </c>
    </row>
    <row r="140" spans="1:19" x14ac:dyDescent="0.25">
      <c r="A140" s="4">
        <f>IFERROR(Merged_data[[#This Row],[BTCUSD_Close]]/Merged_data!D139-1,"")</f>
        <v>-3.1655342804199904E-3</v>
      </c>
      <c r="B140" s="4">
        <f>IFERROR(Merged_data[[#This Row],[XAUUSD_Close]]/Merged_data!C139-1, "")</f>
        <v>1.9606423857524424E-2</v>
      </c>
      <c r="C140" s="4">
        <f>IFERROR(Merged_data[[#This Row],[AAPL_Close]]/Merged_data!B139-1,"")</f>
        <v>-4.1444920642397243E-3</v>
      </c>
      <c r="D140" s="4">
        <f t="shared" si="16"/>
        <v>5.6495616396118557E-3</v>
      </c>
      <c r="E140">
        <f t="shared" ca="1" si="17"/>
        <v>-9.3924579920259474E-3</v>
      </c>
      <c r="F140">
        <f t="shared" ca="1" si="17"/>
        <v>-0.61135583553637407</v>
      </c>
      <c r="G140">
        <f t="shared" ca="1" si="17"/>
        <v>0.41903933717823089</v>
      </c>
      <c r="H140">
        <f ca="1"/>
        <v>-9.3924579920259474E-3</v>
      </c>
      <c r="I140">
        <f ca="1"/>
        <v>-0.61100575403395396</v>
      </c>
      <c r="J140">
        <f ca="1"/>
        <v>0.40299620723933899</v>
      </c>
      <c r="K140">
        <v>138</v>
      </c>
      <c r="L140">
        <f t="shared" ca="1" si="18"/>
        <v>109959.59653815391</v>
      </c>
      <c r="M140">
        <f t="shared" ca="1" si="19"/>
        <v>4090.0774602080783</v>
      </c>
      <c r="N140">
        <f t="shared" ca="1" si="20"/>
        <v>263.44827470015804</v>
      </c>
      <c r="O140" s="4">
        <f t="shared" ca="1" si="21"/>
        <v>-3.4427421245573991E-3</v>
      </c>
      <c r="P140" s="4">
        <f t="shared" ca="1" si="22"/>
        <v>-9.4481055041323488E-4</v>
      </c>
      <c r="Q140" s="4">
        <f t="shared" ca="1" si="23"/>
        <v>-2.5361221081597655E-3</v>
      </c>
      <c r="R140" s="4" cm="1">
        <f t="array" aca="1" ref="R140" ca="1">_xlfn._xlws.SORT(SUMPRODUCT($U$2:$W$2,O140:Q140))</f>
        <v>-2.1715834899804433E-3</v>
      </c>
      <c r="S140" s="4">
        <f ca="1"/>
        <v>1.6710316195651742E-3</v>
      </c>
    </row>
    <row r="141" spans="1:19" x14ac:dyDescent="0.25">
      <c r="A141" s="4">
        <f>IFERROR(Merged_data[[#This Row],[BTCUSD_Close]]/Merged_data!D140-1,"")</f>
        <v>6.1575400821005655E-3</v>
      </c>
      <c r="B141" s="4">
        <f>IFERROR(Merged_data[[#This Row],[XAUUSD_Close]]/Merged_data!C140-1, "")</f>
        <v>-1.4621137528820882E-2</v>
      </c>
      <c r="C141" s="4">
        <f>IFERROR(Merged_data[[#This Row],[AAPL_Close]]/Merged_data!B140-1,"")</f>
        <v>-8.9855757862378205E-4</v>
      </c>
      <c r="D141" s="4">
        <f t="shared" si="16"/>
        <v>-4.2707602604853184E-3</v>
      </c>
      <c r="E141">
        <f t="shared" ca="1" si="17"/>
        <v>0.61542424714499566</v>
      </c>
      <c r="F141">
        <f t="shared" ca="1" si="17"/>
        <v>-0.10587934601697001</v>
      </c>
      <c r="G141">
        <f t="shared" ca="1" si="17"/>
        <v>-0.57933024125484056</v>
      </c>
      <c r="H141">
        <f ca="1"/>
        <v>0.61542424714499566</v>
      </c>
      <c r="I141">
        <f ca="1"/>
        <v>-7.3421389088212802E-2</v>
      </c>
      <c r="J141">
        <f ca="1"/>
        <v>-0.39082471065117974</v>
      </c>
      <c r="K141">
        <v>139</v>
      </c>
      <c r="L141">
        <f t="shared" ca="1" si="18"/>
        <v>111837.83636902926</v>
      </c>
      <c r="M141">
        <f t="shared" ca="1" si="19"/>
        <v>4116.9850380739636</v>
      </c>
      <c r="N141">
        <f t="shared" ca="1" si="20"/>
        <v>259.17302468949163</v>
      </c>
      <c r="O141" s="4">
        <f t="shared" ca="1" si="21"/>
        <v>1.6936938406780139E-2</v>
      </c>
      <c r="P141" s="4">
        <f t="shared" ca="1" si="22"/>
        <v>6.5571997979177298E-3</v>
      </c>
      <c r="Q141" s="4">
        <f t="shared" ca="1" si="23"/>
        <v>-1.6361160115381398E-2</v>
      </c>
      <c r="R141" s="4" cm="1">
        <f t="array" aca="1" ref="R141" ca="1">_xlfn._xlws.SORT(SUMPRODUCT($U$2:$W$2,O141:Q141))</f>
        <v>2.7956134065867137E-3</v>
      </c>
      <c r="S141" s="4">
        <f ca="1"/>
        <v>2.0690512195950675E-3</v>
      </c>
    </row>
    <row r="142" spans="1:19" x14ac:dyDescent="0.25">
      <c r="A142" s="4">
        <f>IFERROR(Merged_data[[#This Row],[BTCUSD_Close]]/Merged_data!D141-1,"")</f>
        <v>1.4914745390862461E-2</v>
      </c>
      <c r="B142" s="4">
        <f>IFERROR(Merged_data[[#This Row],[XAUUSD_Close]]/Merged_data!C141-1, "")</f>
        <v>1.168221371606859E-2</v>
      </c>
      <c r="C142" s="4">
        <f>IFERROR(Merged_data[[#This Row],[AAPL_Close]]/Merged_data!B141-1,"")</f>
        <v>-1.1739089273880454E-2</v>
      </c>
      <c r="D142" s="4">
        <f t="shared" si="16"/>
        <v>5.6255823215220369E-3</v>
      </c>
      <c r="E142">
        <f t="shared" ca="1" si="17"/>
        <v>-0.82862926688486838</v>
      </c>
      <c r="F142">
        <f t="shared" ca="1" si="17"/>
        <v>-0.17948997587515042</v>
      </c>
      <c r="G142">
        <f t="shared" ca="1" si="17"/>
        <v>1.7845460362921293</v>
      </c>
      <c r="H142">
        <f ca="1"/>
        <v>-0.82862926688486838</v>
      </c>
      <c r="I142">
        <f ca="1"/>
        <v>-0.22274834243495523</v>
      </c>
      <c r="J142">
        <f ca="1"/>
        <v>1.494381154856963</v>
      </c>
      <c r="K142">
        <v>140</v>
      </c>
      <c r="L142">
        <f t="shared" ca="1" si="18"/>
        <v>107544.10189053266</v>
      </c>
      <c r="M142">
        <f t="shared" ca="1" si="19"/>
        <v>4109.4915372116266</v>
      </c>
      <c r="N142">
        <f t="shared" ca="1" si="20"/>
        <v>269.44069638119879</v>
      </c>
      <c r="O142" s="4">
        <f t="shared" ca="1" si="21"/>
        <v>-3.9148918945260514E-2</v>
      </c>
      <c r="P142" s="4">
        <f t="shared" ca="1" si="22"/>
        <v>-1.8218013182950527E-3</v>
      </c>
      <c r="Q142" s="4">
        <f t="shared" ca="1" si="23"/>
        <v>3.8852427952479736E-2</v>
      </c>
      <c r="R142" s="4" cm="1">
        <f t="array" aca="1" ref="R142" ca="1">_xlfn._xlws.SORT(SUMPRODUCT($U$2:$W$2,O142:Q142))</f>
        <v>-8.176678251522549E-4</v>
      </c>
      <c r="S142" s="4">
        <f ca="1"/>
        <v>2.2950066531862764E-3</v>
      </c>
    </row>
    <row r="143" spans="1:19" x14ac:dyDescent="0.25">
      <c r="A143" s="4">
        <f>IFERROR(Merged_data[[#This Row],[BTCUSD_Close]]/Merged_data!D142-1,"")</f>
        <v>1.0855755920890386E-2</v>
      </c>
      <c r="B143" s="4">
        <f>IFERROR(Merged_data[[#This Row],[XAUUSD_Close]]/Merged_data!C142-1, "")</f>
        <v>1.864847333621289E-2</v>
      </c>
      <c r="C143" s="4">
        <f>IFERROR(Merged_data[[#This Row],[AAPL_Close]]/Merged_data!B142-1,"")</f>
        <v>-9.196283168885877E-3</v>
      </c>
      <c r="D143" s="4">
        <f t="shared" si="16"/>
        <v>7.9572311600865087E-3</v>
      </c>
      <c r="E143">
        <f t="shared" ca="1" si="17"/>
        <v>0.38948164265638652</v>
      </c>
      <c r="F143">
        <f t="shared" ca="1" si="17"/>
        <v>0.79294877940030362</v>
      </c>
      <c r="G143">
        <f t="shared" ca="1" si="17"/>
        <v>0.7574784062860459</v>
      </c>
      <c r="H143">
        <f ca="1"/>
        <v>0.38948164265638652</v>
      </c>
      <c r="I143">
        <f ca="1"/>
        <v>0.81230424344735097</v>
      </c>
      <c r="J143">
        <f ca="1"/>
        <v>0.83183826496782942</v>
      </c>
      <c r="K143">
        <v>141</v>
      </c>
      <c r="L143">
        <f t="shared" ca="1" si="18"/>
        <v>111154.57605480588</v>
      </c>
      <c r="M143">
        <f t="shared" ca="1" si="19"/>
        <v>4161.7042489749319</v>
      </c>
      <c r="N143">
        <f t="shared" ca="1" si="20"/>
        <v>265.78633632222096</v>
      </c>
      <c r="O143" s="4">
        <f t="shared" ca="1" si="21"/>
        <v>3.3020796063838939E-2</v>
      </c>
      <c r="P143" s="4">
        <f t="shared" ca="1" si="22"/>
        <v>1.2625358332369396E-2</v>
      </c>
      <c r="Q143" s="4">
        <f t="shared" ca="1" si="23"/>
        <v>-1.3655576503695893E-2</v>
      </c>
      <c r="R143" s="4" cm="1">
        <f t="array" aca="1" ref="R143" ca="1">_xlfn._xlws.SORT(SUMPRODUCT($U$2:$W$2,O143:Q143))</f>
        <v>1.0859709200990674E-2</v>
      </c>
      <c r="S143" s="4">
        <f ca="1"/>
        <v>2.441991914491775E-3</v>
      </c>
    </row>
    <row r="144" spans="1:19" x14ac:dyDescent="0.25">
      <c r="A144" s="4">
        <f>IFERROR(Merged_data[[#This Row],[BTCUSD_Close]]/Merged_data!D143-1,"")</f>
        <v>1.7229574466089526E-2</v>
      </c>
      <c r="B144" s="4">
        <f>IFERROR(Merged_data[[#This Row],[XAUUSD_Close]]/Merged_data!C143-1, "")</f>
        <v>7.7340778149443956E-3</v>
      </c>
      <c r="C144" s="4">
        <f>IFERROR(Merged_data[[#This Row],[AAPL_Close]]/Merged_data!B143-1,"")</f>
        <v>-2.3059073769699401E-2</v>
      </c>
      <c r="D144" s="4">
        <f t="shared" si="16"/>
        <v>1.3447813348947965E-3</v>
      </c>
      <c r="E144">
        <f t="shared" ca="1" si="17"/>
        <v>0.85478707662986653</v>
      </c>
      <c r="F144">
        <f t="shared" ca="1" si="17"/>
        <v>1.6624492424290473</v>
      </c>
      <c r="G144">
        <f t="shared" ca="1" si="17"/>
        <v>-2.7665340917868639</v>
      </c>
      <c r="H144">
        <f ca="1"/>
        <v>0.85478707662986653</v>
      </c>
      <c r="I144">
        <f ca="1"/>
        <v>1.7050355996824782</v>
      </c>
      <c r="J144">
        <f ca="1"/>
        <v>-2.4378265399083343</v>
      </c>
      <c r="K144">
        <v>142</v>
      </c>
      <c r="L144">
        <f t="shared" ca="1" si="18"/>
        <v>112565.41182448839</v>
      </c>
      <c r="M144">
        <f t="shared" ca="1" si="19"/>
        <v>4207.2699853083122</v>
      </c>
      <c r="N144">
        <f t="shared" ca="1" si="20"/>
        <v>248.46587269639247</v>
      </c>
      <c r="O144" s="4">
        <f t="shared" ca="1" si="21"/>
        <v>1.2612681468071192E-2</v>
      </c>
      <c r="P144" s="4">
        <f t="shared" ca="1" si="22"/>
        <v>1.0889312193198521E-2</v>
      </c>
      <c r="Q144" s="4">
        <f t="shared" ca="1" si="23"/>
        <v>-6.7387236205197931E-2</v>
      </c>
      <c r="R144" s="4" cm="1">
        <f t="array" aca="1" ref="R144" ca="1">_xlfn._xlws.SORT(SUMPRODUCT($U$2:$W$2,O144:Q144))</f>
        <v>-1.2076641543858612E-2</v>
      </c>
      <c r="S144" s="4">
        <f ca="1"/>
        <v>2.4950995121066468E-3</v>
      </c>
    </row>
    <row r="145" spans="1:19" x14ac:dyDescent="0.25">
      <c r="A145" s="4">
        <f>IFERROR(Merged_data[[#This Row],[BTCUSD_Close]]/Merged_data!D144-1,"")</f>
        <v>2.2239433502987405E-2</v>
      </c>
      <c r="B145" s="4">
        <f>IFERROR(Merged_data[[#This Row],[XAUUSD_Close]]/Merged_data!C144-1, "")</f>
        <v>-6.2390097212126072E-3</v>
      </c>
      <c r="C145" s="4">
        <f>IFERROR(Merged_data[[#This Row],[AAPL_Close]]/Merged_data!B144-1,"")</f>
        <v>-3.6122519669453679E-3</v>
      </c>
      <c r="D145" s="4">
        <f t="shared" si="16"/>
        <v>3.0925505723275676E-3</v>
      </c>
      <c r="E145">
        <f t="shared" ca="1" si="17"/>
        <v>-0.38342440183426668</v>
      </c>
      <c r="F145">
        <f t="shared" ca="1" si="17"/>
        <v>-1.1310209600281174</v>
      </c>
      <c r="G145">
        <f t="shared" ca="1" si="17"/>
        <v>-0.71908997351088044</v>
      </c>
      <c r="H145">
        <f ca="1"/>
        <v>-0.38342440183426668</v>
      </c>
      <c r="I145">
        <f ca="1"/>
        <v>-1.1495921085161978</v>
      </c>
      <c r="J145">
        <f ca="1"/>
        <v>-0.79206398784539112</v>
      </c>
      <c r="K145">
        <v>143</v>
      </c>
      <c r="L145">
        <f t="shared" ca="1" si="18"/>
        <v>108849.46024219385</v>
      </c>
      <c r="M145">
        <f t="shared" ca="1" si="19"/>
        <v>4063.2887959407822</v>
      </c>
      <c r="N145">
        <f t="shared" ca="1" si="20"/>
        <v>257.03778753313657</v>
      </c>
      <c r="O145" s="4">
        <f t="shared" ca="1" si="21"/>
        <v>-3.356866217669327E-2</v>
      </c>
      <c r="P145" s="4">
        <f t="shared" ca="1" si="22"/>
        <v>-3.4821283843846432E-2</v>
      </c>
      <c r="Q145" s="4">
        <f t="shared" ca="1" si="23"/>
        <v>3.3917604397862136E-2</v>
      </c>
      <c r="R145" s="4" cm="1">
        <f t="array" aca="1" ref="R145" ca="1">_xlfn._xlws.SORT(SUMPRODUCT($U$2:$W$2,O145:Q145))</f>
        <v>-1.3823830871187914E-2</v>
      </c>
      <c r="S145" s="4">
        <f ca="1"/>
        <v>2.5430764283375581E-3</v>
      </c>
    </row>
    <row r="146" spans="1:19" x14ac:dyDescent="0.25">
      <c r="A146" s="4">
        <f>IFERROR(Merged_data[[#This Row],[BTCUSD_Close]]/Merged_data!D145-1,"")</f>
        <v>-1.9590864812209063E-2</v>
      </c>
      <c r="B146" s="4">
        <f>IFERROR(Merged_data[[#This Row],[XAUUSD_Close]]/Merged_data!C145-1, "")</f>
        <v>2.0081979030243557E-2</v>
      </c>
      <c r="C146" s="4">
        <f>IFERROR(Merged_data[[#This Row],[AAPL_Close]]/Merged_data!B145-1,"")</f>
        <v>-3.0244338498212175E-2</v>
      </c>
      <c r="D146" s="4">
        <f t="shared" si="16"/>
        <v>-6.9177693810289469E-3</v>
      </c>
      <c r="E146">
        <f t="shared" ca="1" si="17"/>
        <v>0.44005028046706374</v>
      </c>
      <c r="F146">
        <f t="shared" ca="1" si="17"/>
        <v>-0.49602124986194424</v>
      </c>
      <c r="G146">
        <f t="shared" ca="1" si="17"/>
        <v>-1.7401032103226737</v>
      </c>
      <c r="H146">
        <f ca="1"/>
        <v>0.44005028046706374</v>
      </c>
      <c r="I146">
        <f ca="1"/>
        <v>-0.4722329316061103</v>
      </c>
      <c r="J146">
        <f ca="1"/>
        <v>-1.5543824580047305</v>
      </c>
      <c r="K146">
        <v>144</v>
      </c>
      <c r="L146">
        <f t="shared" ca="1" si="18"/>
        <v>111306.56803183045</v>
      </c>
      <c r="M146">
        <f t="shared" ca="1" si="19"/>
        <v>4096.999508038778</v>
      </c>
      <c r="N146">
        <f t="shared" ca="1" si="20"/>
        <v>253.03079458633408</v>
      </c>
      <c r="O146" s="4">
        <f t="shared" ca="1" si="21"/>
        <v>2.2322439568650716E-2</v>
      </c>
      <c r="P146" s="4">
        <f t="shared" ca="1" si="22"/>
        <v>8.2621845234267521E-3</v>
      </c>
      <c r="Q146" s="4">
        <f t="shared" ca="1" si="23"/>
        <v>-1.5711908236699986E-2</v>
      </c>
      <c r="R146" s="4" cm="1">
        <f t="array" aca="1" ref="R146" ca="1">_xlfn._xlws.SORT(SUMPRODUCT($U$2:$W$2,O146:Q146))</f>
        <v>5.2880332089559196E-3</v>
      </c>
      <c r="S146" s="4">
        <f ca="1"/>
        <v>2.7656793669991082E-3</v>
      </c>
    </row>
    <row r="147" spans="1:19" x14ac:dyDescent="0.25">
      <c r="A147" s="4">
        <f>IFERROR(Merged_data[[#This Row],[BTCUSD_Close]]/Merged_data!D146-1,"")</f>
        <v>1.6099948480163828E-3</v>
      </c>
      <c r="B147" s="4">
        <f>IFERROR(Merged_data[[#This Row],[XAUUSD_Close]]/Merged_data!C146-1, "")</f>
        <v>-1.7913303242276579E-2</v>
      </c>
      <c r="C147" s="4">
        <f>IFERROR(Merged_data[[#This Row],[AAPL_Close]]/Merged_data!B146-1,"")</f>
        <v>2.5298304911148595E-2</v>
      </c>
      <c r="D147" s="4">
        <f t="shared" si="16"/>
        <v>9.0716863083886105E-4</v>
      </c>
      <c r="E147">
        <f t="shared" ca="1" si="17"/>
        <v>0.22322829341905426</v>
      </c>
      <c r="F147">
        <f t="shared" ca="1" si="17"/>
        <v>-0.2955942550754887</v>
      </c>
      <c r="G147">
        <f t="shared" ca="1" si="17"/>
        <v>-0.34816649222095158</v>
      </c>
      <c r="H147">
        <f ca="1"/>
        <v>0.22322829341905426</v>
      </c>
      <c r="I147">
        <f ca="1"/>
        <v>-0.28346628904717636</v>
      </c>
      <c r="J147">
        <f ca="1"/>
        <v>-0.27374448353412678</v>
      </c>
      <c r="K147">
        <v>145</v>
      </c>
      <c r="L147">
        <f t="shared" ca="1" si="18"/>
        <v>110654.07304139729</v>
      </c>
      <c r="M147">
        <f t="shared" ca="1" si="19"/>
        <v>4106.4428651714779</v>
      </c>
      <c r="N147">
        <f t="shared" ca="1" si="20"/>
        <v>259.79782780581354</v>
      </c>
      <c r="O147" s="4">
        <f t="shared" ca="1" si="21"/>
        <v>-5.8793925522765056E-3</v>
      </c>
      <c r="P147" s="4">
        <f t="shared" ca="1" si="22"/>
        <v>2.3022923485845649E-3</v>
      </c>
      <c r="Q147" s="4">
        <f t="shared" ca="1" si="23"/>
        <v>2.6392544123899502E-2</v>
      </c>
      <c r="R147" s="4" cm="1">
        <f t="array" aca="1" ref="R147" ca="1">_xlfn._xlws.SORT(SUMPRODUCT($U$2:$W$2,O147:Q147))</f>
        <v>7.0748624109207257E-3</v>
      </c>
      <c r="S147" s="4">
        <f ca="1"/>
        <v>2.7956134065867137E-3</v>
      </c>
    </row>
    <row r="148" spans="1:19" x14ac:dyDescent="0.25">
      <c r="A148" s="4">
        <f>IFERROR(Merged_data[[#This Row],[BTCUSD_Close]]/Merged_data!D147-1,"")</f>
        <v>-1.2207107494190406E-2</v>
      </c>
      <c r="B148" s="4">
        <f>IFERROR(Merged_data[[#This Row],[XAUUSD_Close]]/Merged_data!C147-1, "")</f>
        <v>-3.9930863254971083E-3</v>
      </c>
      <c r="C148" s="4">
        <f>IFERROR(Merged_data[[#This Row],[AAPL_Close]]/Merged_data!B147-1,"")</f>
        <v>1.0488986564105574E-3</v>
      </c>
      <c r="D148" s="4">
        <f t="shared" si="16"/>
        <v>-4.944697181532798E-3</v>
      </c>
      <c r="E148">
        <f t="shared" ca="1" si="17"/>
        <v>0.77457671748042967</v>
      </c>
      <c r="F148">
        <f t="shared" ca="1" si="17"/>
        <v>0.87154681303892234</v>
      </c>
      <c r="G148">
        <f t="shared" ca="1" si="17"/>
        <v>0.45178433135563356</v>
      </c>
      <c r="H148">
        <f ca="1"/>
        <v>0.77457671748042967</v>
      </c>
      <c r="I148">
        <f ca="1"/>
        <v>0.91101270605585227</v>
      </c>
      <c r="J148">
        <f ca="1"/>
        <v>0.64147455273581333</v>
      </c>
      <c r="K148">
        <v>146</v>
      </c>
      <c r="L148">
        <f t="shared" ca="1" si="18"/>
        <v>112320.24621745208</v>
      </c>
      <c r="M148">
        <f t="shared" ca="1" si="19"/>
        <v>4166.7119588400656</v>
      </c>
      <c r="N148">
        <f t="shared" ca="1" si="20"/>
        <v>264.74448687693791</v>
      </c>
      <c r="O148" s="4">
        <f t="shared" ca="1" si="21"/>
        <v>1.4945256427826842E-2</v>
      </c>
      <c r="P148" s="4">
        <f t="shared" ca="1" si="22"/>
        <v>1.4570054867774894E-2</v>
      </c>
      <c r="Q148" s="4">
        <f t="shared" ca="1" si="23"/>
        <v>1.8861417204589427E-2</v>
      </c>
      <c r="R148" s="4" cm="1">
        <f t="array" aca="1" ref="R148" ca="1">_xlfn._xlws.SORT(SUMPRODUCT($U$2:$W$2,O148:Q148))</f>
        <v>1.5970024036834837E-2</v>
      </c>
      <c r="S148" s="4">
        <f ca="1"/>
        <v>4.0706061623338782E-3</v>
      </c>
    </row>
    <row r="149" spans="1:19" x14ac:dyDescent="0.25">
      <c r="A149" s="4">
        <f>IFERROR(Merged_data[[#This Row],[BTCUSD_Close]]/Merged_data!D148-1,"")</f>
        <v>-1.042383440888206E-2</v>
      </c>
      <c r="B149" s="4">
        <f>IFERROR(Merged_data[[#This Row],[XAUUSD_Close]]/Merged_data!C148-1, "")</f>
        <v>9.1847210287372416E-3</v>
      </c>
      <c r="C149" s="4">
        <f>IFERROR(Merged_data[[#This Row],[AAPL_Close]]/Merged_data!B148-1,"")</f>
        <v>-2.3450753417822989E-3</v>
      </c>
      <c r="D149" s="4">
        <f t="shared" si="16"/>
        <v>-1.5678451370441081E-4</v>
      </c>
      <c r="E149">
        <f t="shared" ca="1" si="17"/>
        <v>1.6465696430250469</v>
      </c>
      <c r="F149">
        <f t="shared" ca="1" si="17"/>
        <v>-1.2083101848398135</v>
      </c>
      <c r="G149">
        <f t="shared" ca="1" si="17"/>
        <v>0.83572486641971888</v>
      </c>
      <c r="H149">
        <f ca="1"/>
        <v>1.6465696430250469</v>
      </c>
      <c r="I149">
        <f ca="1"/>
        <v>-1.1201929560004977</v>
      </c>
      <c r="J149">
        <f ca="1"/>
        <v>1.2542891767744222</v>
      </c>
      <c r="K149">
        <v>147</v>
      </c>
      <c r="L149">
        <f t="shared" ca="1" si="18"/>
        <v>115006.87084399577</v>
      </c>
      <c r="M149">
        <f t="shared" ca="1" si="19"/>
        <v>4064.7413487531526</v>
      </c>
      <c r="N149">
        <f t="shared" ca="1" si="20"/>
        <v>268.109144420365</v>
      </c>
      <c r="O149" s="4">
        <f t="shared" ca="1" si="21"/>
        <v>2.363774066598584E-2</v>
      </c>
      <c r="P149" s="4">
        <f t="shared" ca="1" si="22"/>
        <v>-2.477711357032188E-2</v>
      </c>
      <c r="Q149" s="4">
        <f t="shared" ca="1" si="23"/>
        <v>1.2628992523241993E-2</v>
      </c>
      <c r="R149" s="4" cm="1">
        <f t="array" aca="1" ref="R149" ca="1">_xlfn._xlws.SORT(SUMPRODUCT($U$2:$W$2,O149:Q149))</f>
        <v>9.691745286395971E-4</v>
      </c>
      <c r="S149" s="4">
        <f ca="1"/>
        <v>4.0960100219118584E-3</v>
      </c>
    </row>
    <row r="150" spans="1:19" x14ac:dyDescent="0.25">
      <c r="A150" s="4">
        <f>IFERROR(Merged_data[[#This Row],[BTCUSD_Close]]/Merged_data!D149-1,"")</f>
        <v>-1.72616306931902E-2</v>
      </c>
      <c r="B150" s="4">
        <f>IFERROR(Merged_data[[#This Row],[XAUUSD_Close]]/Merged_data!C149-1, "")</f>
        <v>-6.8797246301676163E-3</v>
      </c>
      <c r="C150" s="4">
        <f>IFERROR(Merged_data[[#This Row],[AAPL_Close]]/Merged_data!B149-1,"")</f>
        <v>4.5011252813202951E-3</v>
      </c>
      <c r="D150" s="4">
        <f t="shared" si="16"/>
        <v>-6.5800414756280179E-3</v>
      </c>
      <c r="E150">
        <f t="shared" ca="1" si="17"/>
        <v>-0.26234247717529352</v>
      </c>
      <c r="F150">
        <f t="shared" ca="1" si="17"/>
        <v>-0.19291910995776868</v>
      </c>
      <c r="G150">
        <f t="shared" ca="1" si="17"/>
        <v>0.55085025164967527</v>
      </c>
      <c r="H150">
        <f ca="1"/>
        <v>-0.26234247717529352</v>
      </c>
      <c r="I150">
        <f ca="1"/>
        <v>-0.20642692050893532</v>
      </c>
      <c r="J150">
        <f ca="1"/>
        <v>0.45998656347333572</v>
      </c>
      <c r="K150">
        <v>148</v>
      </c>
      <c r="L150">
        <f t="shared" ca="1" si="18"/>
        <v>109206.5354682888</v>
      </c>
      <c r="M150">
        <f t="shared" ca="1" si="19"/>
        <v>4110.2999528924056</v>
      </c>
      <c r="N150">
        <f t="shared" ca="1" si="20"/>
        <v>263.75563915771812</v>
      </c>
      <c r="O150" s="4">
        <f t="shared" ca="1" si="21"/>
        <v>-5.1750962917377921E-2</v>
      </c>
      <c r="P150" s="4">
        <f t="shared" ca="1" si="22"/>
        <v>1.1145894951810096E-2</v>
      </c>
      <c r="Q150" s="4">
        <f t="shared" ca="1" si="23"/>
        <v>-1.6371087650312328E-2</v>
      </c>
      <c r="R150" s="4" cm="1">
        <f t="array" aca="1" ref="R150" ca="1">_xlfn._xlws.SORT(SUMPRODUCT($U$2:$W$2,O150:Q150))</f>
        <v>-1.5978257189583032E-2</v>
      </c>
      <c r="S150" s="4">
        <f ca="1"/>
        <v>4.3680682825157713E-3</v>
      </c>
    </row>
    <row r="151" spans="1:19" x14ac:dyDescent="0.25">
      <c r="A151" s="4">
        <f>IFERROR(Merged_data[[#This Row],[BTCUSD_Close]]/Merged_data!D150-1,"")</f>
        <v>3.5187026696243962E-3</v>
      </c>
      <c r="B151" s="4">
        <f>IFERROR(Merged_data[[#This Row],[XAUUSD_Close]]/Merged_data!C150-1, "")</f>
        <v>2.6321020851954202E-2</v>
      </c>
      <c r="C151" s="4">
        <f>IFERROR(Merged_data[[#This Row],[AAPL_Close]]/Merged_data!B150-1,"")</f>
        <v>4.2320139407516777E-3</v>
      </c>
      <c r="D151" s="4">
        <f t="shared" si="16"/>
        <v>1.2853623323894503E-2</v>
      </c>
      <c r="E151">
        <f t="shared" ca="1" si="17"/>
        <v>1.3580044161203708</v>
      </c>
      <c r="F151">
        <f t="shared" ca="1" si="17"/>
        <v>-1.2916211726017721</v>
      </c>
      <c r="G151">
        <f t="shared" ca="1" si="17"/>
        <v>-0.20091109216534475</v>
      </c>
      <c r="H151">
        <f ca="1"/>
        <v>1.3580044161203708</v>
      </c>
      <c r="I151">
        <f ca="1"/>
        <v>-1.2185397182791962</v>
      </c>
      <c r="J151">
        <f ca="1"/>
        <v>0.17853947736855719</v>
      </c>
      <c r="K151">
        <v>149</v>
      </c>
      <c r="L151">
        <f t="shared" ca="1" si="18"/>
        <v>114110.36426042892</v>
      </c>
      <c r="M151">
        <f t="shared" ca="1" si="19"/>
        <v>4059.8656122012721</v>
      </c>
      <c r="N151">
        <f t="shared" ca="1" si="20"/>
        <v>262.22992863589042</v>
      </c>
      <c r="O151" s="4">
        <f t="shared" ca="1" si="21"/>
        <v>4.3925177497582173E-2</v>
      </c>
      <c r="P151" s="4">
        <f t="shared" ca="1" si="22"/>
        <v>-1.2346134461397221E-2</v>
      </c>
      <c r="Q151" s="4">
        <f t="shared" ca="1" si="23"/>
        <v>-5.8013561372066867E-3</v>
      </c>
      <c r="R151" s="4" cm="1">
        <f t="array" aca="1" ref="R151" ca="1">_xlfn._xlws.SORT(SUMPRODUCT($U$2:$W$2,O151:Q151))</f>
        <v>6.4986926235537559E-3</v>
      </c>
      <c r="S151" s="4">
        <f ca="1"/>
        <v>4.5446891093553834E-3</v>
      </c>
    </row>
    <row r="152" spans="1:19" x14ac:dyDescent="0.25">
      <c r="A152" s="4">
        <f>IFERROR(Merged_data[[#This Row],[BTCUSD_Close]]/Merged_data!D151-1,"")</f>
        <v>4.7926671240186014E-3</v>
      </c>
      <c r="B152" s="4">
        <f>IFERROR(Merged_data[[#This Row],[XAUUSD_Close]]/Merged_data!C151-1, "")</f>
        <v>-8.330326884747552E-3</v>
      </c>
      <c r="C152" s="4">
        <f>IFERROR(Merged_data[[#This Row],[AAPL_Close]]/Merged_data!B151-1,"")</f>
        <v>7.7838373822509688E-3</v>
      </c>
      <c r="D152" s="4">
        <f t="shared" si="16"/>
        <v>4.4082059798185021E-4</v>
      </c>
      <c r="E152">
        <f t="shared" ca="1" si="17"/>
        <v>0.24525054927991477</v>
      </c>
      <c r="F152">
        <f t="shared" ca="1" si="17"/>
        <v>-0.68080133321571112</v>
      </c>
      <c r="G152">
        <f t="shared" ca="1" si="17"/>
        <v>0.12101647568671675</v>
      </c>
      <c r="H152">
        <f ca="1"/>
        <v>0.24525054927991477</v>
      </c>
      <c r="I152">
        <f ca="1"/>
        <v>-0.66698582133924178</v>
      </c>
      <c r="J152">
        <f ca="1"/>
        <v>0.18523601411265442</v>
      </c>
      <c r="K152">
        <v>150</v>
      </c>
      <c r="L152">
        <f t="shared" ca="1" si="18"/>
        <v>110719.33743113742</v>
      </c>
      <c r="M152">
        <f t="shared" ca="1" si="19"/>
        <v>4087.270851791895</v>
      </c>
      <c r="N152">
        <f t="shared" ca="1" si="20"/>
        <v>262.2658985118054</v>
      </c>
      <c r="O152" s="4">
        <f t="shared" ca="1" si="21"/>
        <v>-3.0167579960870567E-2</v>
      </c>
      <c r="P152" s="4">
        <f t="shared" ca="1" si="22"/>
        <v>6.7276013054422329E-3</v>
      </c>
      <c r="Q152" s="4">
        <f t="shared" ca="1" si="23"/>
        <v>1.3715981752228761E-4</v>
      </c>
      <c r="R152" s="4" cm="1">
        <f t="array" aca="1" ref="R152" ca="1">_xlfn._xlws.SORT(SUMPRODUCT($U$2:$W$2,O152:Q152))</f>
        <v>-6.3180855208275905E-3</v>
      </c>
      <c r="S152" s="4">
        <f ca="1"/>
        <v>4.6797275655043064E-3</v>
      </c>
    </row>
    <row r="153" spans="1:19" x14ac:dyDescent="0.25">
      <c r="A153" s="4">
        <f>IFERROR(Merged_data[[#This Row],[BTCUSD_Close]]/Merged_data!D152-1,"")</f>
        <v>-4.4758427765397846E-3</v>
      </c>
      <c r="B153" s="4">
        <f>IFERROR(Merged_data[[#This Row],[XAUUSD_Close]]/Merged_data!C152-1, "")</f>
        <v>5.7388659440278378E-3</v>
      </c>
      <c r="C153" s="4">
        <f>IFERROR(Merged_data[[#This Row],[AAPL_Close]]/Merged_data!B152-1,"")</f>
        <v>-2.2138042996999729E-3</v>
      </c>
      <c r="D153" s="4">
        <f t="shared" si="16"/>
        <v>2.8865225473920816E-4</v>
      </c>
      <c r="E153">
        <f t="shared" ca="1" si="17"/>
        <v>1.6288385494223936</v>
      </c>
      <c r="F153">
        <f t="shared" ca="1" si="17"/>
        <v>0.41115829250327995</v>
      </c>
      <c r="G153">
        <f t="shared" ca="1" si="17"/>
        <v>-0.53013326537978822</v>
      </c>
      <c r="H153">
        <f ca="1"/>
        <v>1.6288385494223936</v>
      </c>
      <c r="I153">
        <f ca="1"/>
        <v>0.49611090973933197</v>
      </c>
      <c r="J153">
        <f ca="1"/>
        <v>-7.1056059455226195E-2</v>
      </c>
      <c r="K153">
        <v>151</v>
      </c>
      <c r="L153">
        <f t="shared" ca="1" si="18"/>
        <v>114950.92412402405</v>
      </c>
      <c r="M153">
        <f t="shared" ca="1" si="19"/>
        <v>4145.6712821991887</v>
      </c>
      <c r="N153">
        <f t="shared" ca="1" si="20"/>
        <v>260.88402157182253</v>
      </c>
      <c r="O153" s="4">
        <f t="shared" ca="1" si="21"/>
        <v>3.7506782865963158E-2</v>
      </c>
      <c r="P153" s="4">
        <f t="shared" ca="1" si="22"/>
        <v>1.4187251413693333E-2</v>
      </c>
      <c r="Q153" s="4">
        <f t="shared" ca="1" si="23"/>
        <v>-5.2829221638473062E-3</v>
      </c>
      <c r="R153" s="4" cm="1">
        <f t="array" aca="1" ref="R153" ca="1">_xlfn._xlws.SORT(SUMPRODUCT($U$2:$W$2,O153:Q153))</f>
        <v>1.534205877611209E-2</v>
      </c>
      <c r="S153" s="4">
        <f ca="1"/>
        <v>4.6830013378747343E-3</v>
      </c>
    </row>
    <row r="154" spans="1:19" x14ac:dyDescent="0.25">
      <c r="A154" s="4">
        <f>IFERROR(Merged_data[[#This Row],[BTCUSD_Close]]/Merged_data!D153-1,"")</f>
        <v>-3.2043283198232131E-2</v>
      </c>
      <c r="B154" s="4">
        <f>IFERROR(Merged_data[[#This Row],[XAUUSD_Close]]/Merged_data!C153-1, "")</f>
        <v>-5.8929135305741953E-3</v>
      </c>
      <c r="C154" s="4">
        <f>IFERROR(Merged_data[[#This Row],[AAPL_Close]]/Merged_data!B153-1,"")</f>
        <v>-1.0797751701015712E-2</v>
      </c>
      <c r="D154" s="4">
        <f t="shared" si="16"/>
        <v>-1.5209475882004031E-2</v>
      </c>
      <c r="E154">
        <f t="shared" ca="1" si="17"/>
        <v>-0.74333625809149106</v>
      </c>
      <c r="F154">
        <f t="shared" ca="1" si="17"/>
        <v>-2.2068229088163398</v>
      </c>
      <c r="G154">
        <f t="shared" ca="1" si="17"/>
        <v>2.0108963376401392</v>
      </c>
      <c r="H154">
        <f ca="1"/>
        <v>-0.74333625809149106</v>
      </c>
      <c r="I154">
        <f ca="1"/>
        <v>-2.2428068763972755</v>
      </c>
      <c r="J154">
        <f ca="1"/>
        <v>1.7424359987838429</v>
      </c>
      <c r="K154">
        <v>152</v>
      </c>
      <c r="L154">
        <f t="shared" ca="1" si="18"/>
        <v>107791.14886145604</v>
      </c>
      <c r="M154">
        <f t="shared" ca="1" si="19"/>
        <v>4009.4532312184247</v>
      </c>
      <c r="N154">
        <f t="shared" ca="1" si="20"/>
        <v>270.81891414674533</v>
      </c>
      <c r="O154" s="4">
        <f t="shared" ca="1" si="21"/>
        <v>-6.4309742465982644E-2</v>
      </c>
      <c r="P154" s="4">
        <f t="shared" ca="1" si="22"/>
        <v>-3.3409844637217703E-2</v>
      </c>
      <c r="Q154" s="4">
        <f t="shared" ca="1" si="23"/>
        <v>3.7374437273973223E-2</v>
      </c>
      <c r="R154" s="4" cm="1">
        <f t="array" aca="1" ref="R154" ca="1">_xlfn._xlws.SORT(SUMPRODUCT($U$2:$W$2,O154:Q154))</f>
        <v>-2.1444529412489907E-2</v>
      </c>
      <c r="S154" s="4">
        <f ca="1"/>
        <v>5.2608722297862696E-3</v>
      </c>
    </row>
    <row r="155" spans="1:19" x14ac:dyDescent="0.25">
      <c r="A155" s="4">
        <f>IFERROR(Merged_data[[#This Row],[BTCUSD_Close]]/Merged_data!D154-1,"")</f>
        <v>2.6412383510957538E-2</v>
      </c>
      <c r="B155" s="4">
        <f>IFERROR(Merged_data[[#This Row],[XAUUSD_Close]]/Merged_data!C154-1, "")</f>
        <v>-1.2045084436384967E-2</v>
      </c>
      <c r="C155" s="4">
        <f>IFERROR(Merged_data[[#This Row],[AAPL_Close]]/Merged_data!B154-1,"")</f>
        <v>1.6398345212580434E-2</v>
      </c>
      <c r="D155" s="4">
        <f t="shared" si="16"/>
        <v>8.0251848425074053E-3</v>
      </c>
      <c r="E155">
        <f t="shared" ca="1" si="17"/>
        <v>0.58070487161753925</v>
      </c>
      <c r="F155">
        <f t="shared" ca="1" si="17"/>
        <v>-1.1602316326024182</v>
      </c>
      <c r="G155">
        <f t="shared" ca="1" si="17"/>
        <v>0.3178351948725745</v>
      </c>
      <c r="H155">
        <f ca="1"/>
        <v>0.58070487161753925</v>
      </c>
      <c r="I155">
        <f ca="1"/>
        <v>-1.1281423387127811</v>
      </c>
      <c r="J155">
        <f ca="1"/>
        <v>0.46715124219463944</v>
      </c>
      <c r="K155">
        <v>153</v>
      </c>
      <c r="L155">
        <f t="shared" ca="1" si="18"/>
        <v>111730.31325411642</v>
      </c>
      <c r="M155">
        <f t="shared" ca="1" si="19"/>
        <v>4064.3399350540658</v>
      </c>
      <c r="N155">
        <f t="shared" ca="1" si="20"/>
        <v>263.79346346303868</v>
      </c>
      <c r="O155" s="4">
        <f t="shared" ca="1" si="21"/>
        <v>3.5892502158575174E-2</v>
      </c>
      <c r="P155" s="4">
        <f t="shared" ca="1" si="22"/>
        <v>1.3596471509937522E-2</v>
      </c>
      <c r="Q155" s="4">
        <f t="shared" ca="1" si="23"/>
        <v>-2.6283922449901926E-2</v>
      </c>
      <c r="R155" s="4" cm="1">
        <f t="array" aca="1" ref="R155" ca="1">_xlfn._xlws.SORT(SUMPRODUCT($U$2:$W$2,O155:Q155))</f>
        <v>8.3211625165769826E-3</v>
      </c>
      <c r="S155" s="4">
        <f ca="1"/>
        <v>5.2880332089559196E-3</v>
      </c>
    </row>
    <row r="156" spans="1:19" x14ac:dyDescent="0.25">
      <c r="A156" s="4">
        <f>IFERROR(Merged_data[[#This Row],[BTCUSD_Close]]/Merged_data!D155-1,"")</f>
        <v>5.4111578765711377E-2</v>
      </c>
      <c r="B156" s="4">
        <f>IFERROR(Merged_data[[#This Row],[XAUUSD_Close]]/Merged_data!C155-1, "")</f>
        <v>3.9940406377785287E-3</v>
      </c>
      <c r="C156" s="4">
        <f>IFERROR(Merged_data[[#This Row],[AAPL_Close]]/Merged_data!B155-1,"")</f>
        <v>-1.2112593173793651E-2</v>
      </c>
      <c r="D156" s="4">
        <f t="shared" si="16"/>
        <v>1.4197311932686727E-2</v>
      </c>
      <c r="E156">
        <f t="shared" ca="1" si="17"/>
        <v>0.40387502171638462</v>
      </c>
      <c r="F156">
        <f t="shared" ca="1" si="17"/>
        <v>0.36221692308555242</v>
      </c>
      <c r="G156">
        <f t="shared" ca="1" si="17"/>
        <v>-1.1589126976174493</v>
      </c>
      <c r="H156">
        <f ca="1"/>
        <v>0.40387502171638462</v>
      </c>
      <c r="I156">
        <f ca="1"/>
        <v>0.38292218079382961</v>
      </c>
      <c r="J156">
        <f ca="1"/>
        <v>-1.0076572527341181</v>
      </c>
      <c r="K156">
        <v>154</v>
      </c>
      <c r="L156">
        <f t="shared" ca="1" si="18"/>
        <v>111195.82331997996</v>
      </c>
      <c r="M156">
        <f t="shared" ca="1" si="19"/>
        <v>4139.9476528281539</v>
      </c>
      <c r="N156">
        <f t="shared" ca="1" si="20"/>
        <v>255.89582826855516</v>
      </c>
      <c r="O156" s="4">
        <f t="shared" ca="1" si="21"/>
        <v>-4.7952291869567008E-3</v>
      </c>
      <c r="P156" s="4">
        <f t="shared" ca="1" si="22"/>
        <v>1.8431791298248408E-2</v>
      </c>
      <c r="Q156" s="4">
        <f t="shared" ca="1" si="23"/>
        <v>-3.0396020756162226E-2</v>
      </c>
      <c r="R156" s="4" cm="1">
        <f t="array" aca="1" ref="R156" ca="1">_xlfn._xlws.SORT(SUMPRODUCT($U$2:$W$2,O156:Q156))</f>
        <v>-3.1846584636363133E-3</v>
      </c>
      <c r="S156" s="4">
        <f ca="1"/>
        <v>5.288169542522524E-3</v>
      </c>
    </row>
    <row r="157" spans="1:19" x14ac:dyDescent="0.25">
      <c r="A157" s="4">
        <f>IFERROR(Merged_data[[#This Row],[BTCUSD_Close]]/Merged_data!D156-1,"")</f>
        <v>-2.6376344966205778E-4</v>
      </c>
      <c r="B157" s="4">
        <f>IFERROR(Merged_data[[#This Row],[XAUUSD_Close]]/Merged_data!C156-1, "")</f>
        <v>-7.336878488963805E-4</v>
      </c>
      <c r="C157" s="4">
        <f>IFERROR(Merged_data[[#This Row],[AAPL_Close]]/Merged_data!B156-1,"")</f>
        <v>6.0560933234052872E-3</v>
      </c>
      <c r="D157" s="4">
        <f t="shared" si="16"/>
        <v>1.4442238225644164E-3</v>
      </c>
      <c r="E157">
        <f t="shared" ca="1" si="17"/>
        <v>0.59693590427529608</v>
      </c>
      <c r="F157">
        <f t="shared" ca="1" si="17"/>
        <v>-1.419401785896899</v>
      </c>
      <c r="G157">
        <f t="shared" ca="1" si="17"/>
        <v>-0.26909217621662196</v>
      </c>
      <c r="H157">
        <f ca="1"/>
        <v>0.59693590427529608</v>
      </c>
      <c r="I157">
        <f ca="1"/>
        <v>-1.3861028432239277</v>
      </c>
      <c r="J157">
        <f ca="1"/>
        <v>-9.2582701904329739E-2</v>
      </c>
      <c r="K157">
        <v>155</v>
      </c>
      <c r="L157">
        <f t="shared" ca="1" si="18"/>
        <v>111779.15703287785</v>
      </c>
      <c r="M157">
        <f t="shared" ca="1" si="19"/>
        <v>4051.5686660011106</v>
      </c>
      <c r="N157">
        <f t="shared" ca="1" si="20"/>
        <v>260.76741513009404</v>
      </c>
      <c r="O157" s="4">
        <f t="shared" ca="1" si="21"/>
        <v>5.2322914687134301E-3</v>
      </c>
      <c r="P157" s="4">
        <f t="shared" ca="1" si="22"/>
        <v>-2.1579012446823708E-2</v>
      </c>
      <c r="Q157" s="4">
        <f t="shared" ca="1" si="23"/>
        <v>1.8858439421901997E-2</v>
      </c>
      <c r="R157" s="4" cm="1">
        <f t="array" aca="1" ref="R157" ca="1">_xlfn._xlws.SORT(SUMPRODUCT($U$2:$W$2,O157:Q157))</f>
        <v>-1.4043857115448562E-3</v>
      </c>
      <c r="S157" s="4">
        <f ca="1"/>
        <v>5.379120852318427E-3</v>
      </c>
    </row>
    <row r="158" spans="1:19" x14ac:dyDescent="0.25">
      <c r="A158" s="4">
        <f>IFERROR(Merged_data[[#This Row],[BTCUSD_Close]]/Merged_data!D157-1,"")</f>
        <v>-1.2436543605232941E-2</v>
      </c>
      <c r="B158" s="4">
        <f>IFERROR(Merged_data[[#This Row],[XAUUSD_Close]]/Merged_data!C157-1, "")</f>
        <v>9.5840636730886164E-3</v>
      </c>
      <c r="C158" s="4">
        <f>IFERROR(Merged_data[[#This Row],[AAPL_Close]]/Merged_data!B157-1,"")</f>
        <v>-1.9193763260472618E-2</v>
      </c>
      <c r="D158" s="4">
        <f t="shared" si="16"/>
        <v>-5.6554665904762205E-3</v>
      </c>
      <c r="E158">
        <f t="shared" ca="1" si="17"/>
        <v>-0.14450353414123204</v>
      </c>
      <c r="F158">
        <f t="shared" ca="1" si="17"/>
        <v>1.4155826563676439</v>
      </c>
      <c r="G158">
        <f t="shared" ca="1" si="17"/>
        <v>-0.90685372966997035</v>
      </c>
      <c r="H158">
        <f ca="1"/>
        <v>-0.14450353414123204</v>
      </c>
      <c r="I158">
        <f ca="1"/>
        <v>1.4060432604431712</v>
      </c>
      <c r="J158">
        <f ca="1"/>
        <v>-0.91705694182469599</v>
      </c>
      <c r="K158">
        <v>156</v>
      </c>
      <c r="L158">
        <f t="shared" ca="1" si="18"/>
        <v>109554.66503662511</v>
      </c>
      <c r="M158">
        <f t="shared" ca="1" si="19"/>
        <v>4191.9359238595544</v>
      </c>
      <c r="N158">
        <f t="shared" ca="1" si="20"/>
        <v>256.37365454473991</v>
      </c>
      <c r="O158" s="4">
        <f t="shared" ca="1" si="21"/>
        <v>-2.0101463743234994E-2</v>
      </c>
      <c r="P158" s="4">
        <f t="shared" ca="1" si="22"/>
        <v>3.4058530497019436E-2</v>
      </c>
      <c r="Q158" s="4">
        <f t="shared" ca="1" si="23"/>
        <v>-1.6992911879102103E-2</v>
      </c>
      <c r="R158" s="4" cm="1">
        <f t="array" aca="1" ref="R158" ca="1">_xlfn._xlws.SORT(SUMPRODUCT($U$2:$W$2,O158:Q158))</f>
        <v>2.4950995121066468E-3</v>
      </c>
      <c r="S158" s="4">
        <f ca="1"/>
        <v>5.3905054304804259E-3</v>
      </c>
    </row>
    <row r="159" spans="1:19" x14ac:dyDescent="0.25">
      <c r="A159" s="4">
        <f>IFERROR(Merged_data[[#This Row],[BTCUSD_Close]]/Merged_data!D158-1,"")</f>
        <v>-2.3767629961953363E-2</v>
      </c>
      <c r="B159" s="4">
        <f>IFERROR(Merged_data[[#This Row],[XAUUSD_Close]]/Merged_data!C158-1, "")</f>
        <v>9.1816129296662385E-3</v>
      </c>
      <c r="C159" s="4">
        <f>IFERROR(Merged_data[[#This Row],[AAPL_Close]]/Merged_data!B158-1,"")</f>
        <v>2.1128886205854513E-3</v>
      </c>
      <c r="D159" s="4">
        <f t="shared" si="16"/>
        <v>-2.8237772305438778E-3</v>
      </c>
      <c r="E159">
        <f t="shared" ca="1" si="17"/>
        <v>0.85672787557140251</v>
      </c>
      <c r="F159">
        <f t="shared" ca="1" si="17"/>
        <v>-1.326441222631622</v>
      </c>
      <c r="G159">
        <f t="shared" ca="1" si="17"/>
        <v>-1.8307915936229286</v>
      </c>
      <c r="H159">
        <f ca="1"/>
        <v>0.85672787557140251</v>
      </c>
      <c r="I159">
        <f ca="1"/>
        <v>-1.2796305110968118</v>
      </c>
      <c r="J159">
        <f ca="1"/>
        <v>-1.5260460963801019</v>
      </c>
      <c r="K159">
        <v>157</v>
      </c>
      <c r="L159">
        <f t="shared" ca="1" si="18"/>
        <v>112568.84261919373</v>
      </c>
      <c r="M159">
        <f t="shared" ca="1" si="19"/>
        <v>4056.8316688197906</v>
      </c>
      <c r="N159">
        <f t="shared" ca="1" si="20"/>
        <v>253.17580056026904</v>
      </c>
      <c r="O159" s="4">
        <f t="shared" ca="1" si="21"/>
        <v>2.714132011736417E-2</v>
      </c>
      <c r="P159" s="4">
        <f t="shared" ca="1" si="22"/>
        <v>-3.276036974015871E-2</v>
      </c>
      <c r="Q159" s="4">
        <f t="shared" ca="1" si="23"/>
        <v>-1.2551857085683777E-2</v>
      </c>
      <c r="R159" s="4" cm="1">
        <f t="array" aca="1" ref="R159" ca="1">_xlfn._xlws.SORT(SUMPRODUCT($U$2:$W$2,O159:Q159))</f>
        <v>-8.7273089865593668E-3</v>
      </c>
      <c r="S159" s="4">
        <f ca="1"/>
        <v>5.6021064665225774E-3</v>
      </c>
    </row>
    <row r="160" spans="1:19" x14ac:dyDescent="0.25">
      <c r="A160" s="4">
        <f>IFERROR(Merged_data[[#This Row],[BTCUSD_Close]]/Merged_data!D159-1,"")</f>
        <v>-6.8226212831812294E-3</v>
      </c>
      <c r="B160" s="4">
        <f>IFERROR(Merged_data[[#This Row],[XAUUSD_Close]]/Merged_data!C159-1, "")</f>
        <v>1.377780665587669E-2</v>
      </c>
      <c r="C160" s="4">
        <f>IFERROR(Merged_data[[#This Row],[AAPL_Close]]/Merged_data!B159-1,"")</f>
        <v>-1.3805220883534086E-2</v>
      </c>
      <c r="D160" s="4">
        <f t="shared" si="16"/>
        <v>-6.7722998766391821E-4</v>
      </c>
      <c r="E160">
        <f t="shared" ca="1" si="17"/>
        <v>-2.2821599604547131</v>
      </c>
      <c r="F160">
        <f t="shared" ca="1" si="17"/>
        <v>-0.43128871805881053</v>
      </c>
      <c r="G160">
        <f t="shared" ca="1" si="17"/>
        <v>1.6168256425278951</v>
      </c>
      <c r="H160">
        <f ca="1"/>
        <v>-2.2821599604547131</v>
      </c>
      <c r="I160">
        <f ca="1"/>
        <v>-0.5505152254780058</v>
      </c>
      <c r="J160">
        <f ca="1"/>
        <v>0.94049894990989846</v>
      </c>
      <c r="K160">
        <v>158</v>
      </c>
      <c r="L160">
        <f t="shared" ca="1" si="18"/>
        <v>103386.05477738318</v>
      </c>
      <c r="M160">
        <f t="shared" ca="1" si="19"/>
        <v>4093.0720543545176</v>
      </c>
      <c r="N160">
        <f t="shared" ca="1" si="20"/>
        <v>266.37835606516757</v>
      </c>
      <c r="O160" s="4">
        <f t="shared" ca="1" si="21"/>
        <v>-8.5094882659263807E-2</v>
      </c>
      <c r="P160" s="4">
        <f t="shared" ca="1" si="22"/>
        <v>8.8935098213109576E-3</v>
      </c>
      <c r="Q160" s="4">
        <f t="shared" ca="1" si="23"/>
        <v>5.0833578067999617E-2</v>
      </c>
      <c r="R160" s="4" cm="1">
        <f t="array" aca="1" ref="R160" ca="1">_xlfn._xlws.SORT(SUMPRODUCT($U$2:$W$2,O160:Q160))</f>
        <v>-6.7209874488548746E-3</v>
      </c>
      <c r="S160" s="4">
        <f ca="1"/>
        <v>5.6386963392299171E-3</v>
      </c>
    </row>
    <row r="161" spans="1:19" x14ac:dyDescent="0.25">
      <c r="A161" s="4">
        <f>IFERROR(Merged_data[[#This Row],[BTCUSD_Close]]/Merged_data!D160-1,"")</f>
        <v>3.1535041045910539E-2</v>
      </c>
      <c r="B161" s="4">
        <f>IFERROR(Merged_data[[#This Row],[XAUUSD_Close]]/Merged_data!C160-1, "")</f>
        <v>-1.3777009960583175E-2</v>
      </c>
      <c r="C161" s="4">
        <f>IFERROR(Merged_data[[#This Row],[AAPL_Close]]/Merged_data!B160-1,"")</f>
        <v>1.0027996945787709E-2</v>
      </c>
      <c r="D161" s="4">
        <f t="shared" si="16"/>
        <v>6.958107413276203E-3</v>
      </c>
      <c r="E161">
        <f t="shared" ca="1" si="17"/>
        <v>2.0267752708901714</v>
      </c>
      <c r="F161">
        <f t="shared" ca="1" si="17"/>
        <v>2.2910211834871963</v>
      </c>
      <c r="G161">
        <f t="shared" ca="1" si="17"/>
        <v>-2.1580923412322637</v>
      </c>
      <c r="H161">
        <f ca="1"/>
        <v>2.0267752708901714</v>
      </c>
      <c r="I161">
        <f ca="1"/>
        <v>2.3942740493191148</v>
      </c>
      <c r="J161">
        <f ca="1"/>
        <v>-1.5371599568443757</v>
      </c>
      <c r="K161">
        <v>159</v>
      </c>
      <c r="L161">
        <f t="shared" ca="1" si="18"/>
        <v>116196.33640234369</v>
      </c>
      <c r="M161">
        <f t="shared" ca="1" si="19"/>
        <v>4242.7696960271387</v>
      </c>
      <c r="N161">
        <f t="shared" ca="1" si="20"/>
        <v>253.11738503049656</v>
      </c>
      <c r="O161" s="4">
        <f t="shared" ca="1" si="21"/>
        <v>0.11681122931909801</v>
      </c>
      <c r="P161" s="4">
        <f t="shared" ca="1" si="22"/>
        <v>3.592048453274569E-2</v>
      </c>
      <c r="Q161" s="4">
        <f t="shared" ca="1" si="23"/>
        <v>-5.1064335785836606E-2</v>
      </c>
      <c r="R161" s="4" cm="1">
        <f t="array" aca="1" ref="R161" ca="1">_xlfn._xlws.SORT(SUMPRODUCT($U$2:$W$2,O161:Q161))</f>
        <v>3.40922618730767E-2</v>
      </c>
      <c r="S161" s="4">
        <f ca="1"/>
        <v>5.6463472830780431E-3</v>
      </c>
    </row>
    <row r="162" spans="1:19" x14ac:dyDescent="0.25">
      <c r="A162" s="4">
        <f>IFERROR(Merged_data[[#This Row],[BTCUSD_Close]]/Merged_data!D161-1,"")</f>
        <v>-3.6733077270257097E-2</v>
      </c>
      <c r="B162" s="4">
        <f>IFERROR(Merged_data[[#This Row],[XAUUSD_Close]]/Merged_data!C161-1, "")</f>
        <v>1.0014061041463407E-3</v>
      </c>
      <c r="C162" s="4">
        <f>IFERROR(Merged_data[[#This Row],[AAPL_Close]]/Merged_data!B161-1,"")</f>
        <v>-1.4010684406813856E-2</v>
      </c>
      <c r="D162" s="4">
        <f t="shared" si="16"/>
        <v>-1.4822566061462749E-2</v>
      </c>
      <c r="E162">
        <f t="shared" ca="1" si="17"/>
        <v>-1.7521031280868953</v>
      </c>
      <c r="F162">
        <f t="shared" ca="1" si="17"/>
        <v>2.264804347838945</v>
      </c>
      <c r="G162">
        <f t="shared" ca="1" si="17"/>
        <v>0.48594145373611336</v>
      </c>
      <c r="H162">
        <f ca="1"/>
        <v>-1.7521031280868953</v>
      </c>
      <c r="I162">
        <f ca="1"/>
        <v>2.1696890629373313</v>
      </c>
      <c r="J162">
        <f ca="1"/>
        <v>-1.4173083823580568E-2</v>
      </c>
      <c r="K162">
        <v>160</v>
      </c>
      <c r="L162">
        <f t="shared" ca="1" si="18"/>
        <v>104882.07925584294</v>
      </c>
      <c r="M162">
        <f t="shared" ca="1" si="19"/>
        <v>4231.1612439636056</v>
      </c>
      <c r="N162">
        <f t="shared" ca="1" si="20"/>
        <v>261.18803906700788</v>
      </c>
      <c r="O162" s="4">
        <f t="shared" ca="1" si="21"/>
        <v>-0.10244465118885962</v>
      </c>
      <c r="P162" s="4">
        <f t="shared" ca="1" si="22"/>
        <v>-2.7398050343672375E-3</v>
      </c>
      <c r="Q162" s="4">
        <f t="shared" ca="1" si="23"/>
        <v>3.1387250536007355E-2</v>
      </c>
      <c r="R162" s="4" cm="1">
        <f t="array" aca="1" ref="R162" ca="1">_xlfn._xlws.SORT(SUMPRODUCT($U$2:$W$2,O162:Q162))</f>
        <v>-2.2413142209602575E-2</v>
      </c>
      <c r="S162" s="4">
        <f ca="1"/>
        <v>5.7310599367300123E-3</v>
      </c>
    </row>
    <row r="163" spans="1:19" x14ac:dyDescent="0.25">
      <c r="A163" s="4">
        <f>IFERROR(Merged_data[[#This Row],[BTCUSD_Close]]/Merged_data!D162-1,"")</f>
        <v>5.0392526224194434E-3</v>
      </c>
      <c r="B163" s="4">
        <f>IFERROR(Merged_data[[#This Row],[XAUUSD_Close]]/Merged_data!C162-1, "")</f>
        <v>-5.6719087064684981E-3</v>
      </c>
      <c r="C163" s="4">
        <f>IFERROR(Merged_data[[#This Row],[AAPL_Close]]/Merged_data!B162-1,"")</f>
        <v>4.8047434062565841E-3</v>
      </c>
      <c r="D163" s="4">
        <f t="shared" si="16"/>
        <v>6.8443532601540884E-4</v>
      </c>
      <c r="E163">
        <f t="shared" ca="1" si="17"/>
        <v>0.91953236116028003</v>
      </c>
      <c r="F163">
        <f t="shared" ca="1" si="17"/>
        <v>-0.10092001697754532</v>
      </c>
      <c r="G163">
        <f t="shared" ca="1" si="17"/>
        <v>-1.0299086672630213</v>
      </c>
      <c r="H163">
        <f ca="1"/>
        <v>0.91953236116028003</v>
      </c>
      <c r="I163">
        <f ca="1"/>
        <v>-5.2502162418643812E-2</v>
      </c>
      <c r="J163">
        <f ca="1"/>
        <v>-0.74232396095436148</v>
      </c>
      <c r="K163">
        <v>161</v>
      </c>
      <c r="L163">
        <f t="shared" ca="1" si="18"/>
        <v>112759.99914347843</v>
      </c>
      <c r="M163">
        <f t="shared" ca="1" si="19"/>
        <v>4118.0086529881783</v>
      </c>
      <c r="N163">
        <f t="shared" ca="1" si="20"/>
        <v>257.29746714227394</v>
      </c>
      <c r="O163" s="4">
        <f t="shared" ca="1" si="21"/>
        <v>7.242499429716244E-2</v>
      </c>
      <c r="P163" s="4">
        <f t="shared" ca="1" si="22"/>
        <v>-2.7106771279334706E-2</v>
      </c>
      <c r="Q163" s="4">
        <f t="shared" ca="1" si="23"/>
        <v>-1.5007728861398758E-2</v>
      </c>
      <c r="R163" s="4" cm="1">
        <f t="array" aca="1" ref="R163" ca="1">_xlfn._xlws.SORT(SUMPRODUCT($U$2:$W$2,O163:Q163))</f>
        <v>6.3824711189952197E-3</v>
      </c>
      <c r="S163" s="4">
        <f ca="1"/>
        <v>6.3824711189952197E-3</v>
      </c>
    </row>
    <row r="164" spans="1:19" x14ac:dyDescent="0.25">
      <c r="A164" s="4">
        <f>IFERROR(Merged_data[[#This Row],[BTCUSD_Close]]/Merged_data!D163-1,"")</f>
        <v>-1.5879207657031991E-2</v>
      </c>
      <c r="B164" s="4">
        <f>IFERROR(Merged_data[[#This Row],[XAUUSD_Close]]/Merged_data!C163-1, "")</f>
        <v>-1.1708281271795018E-3</v>
      </c>
      <c r="C164" s="4">
        <f>IFERROR(Merged_data[[#This Row],[AAPL_Close]]/Merged_data!B163-1,"")</f>
        <v>2.248448468816755E-2</v>
      </c>
      <c r="D164" s="4">
        <f t="shared" si="16"/>
        <v>1.5132518584688674E-3</v>
      </c>
      <c r="E164">
        <f t="shared" ca="1" si="17"/>
        <v>-0.3124245231462488</v>
      </c>
      <c r="F164">
        <f t="shared" ca="1" si="17"/>
        <v>-0.65656092353505202</v>
      </c>
      <c r="G164">
        <f t="shared" ca="1" si="17"/>
        <v>0.67450161507496864</v>
      </c>
      <c r="H164">
        <f ca="1"/>
        <v>-0.3124245231462488</v>
      </c>
      <c r="I164">
        <f ca="1"/>
        <v>-0.67205873399508964</v>
      </c>
      <c r="J164">
        <f ca="1"/>
        <v>0.56709043266331827</v>
      </c>
      <c r="K164">
        <v>162</v>
      </c>
      <c r="L164">
        <f t="shared" ca="1" si="18"/>
        <v>109056.11375452262</v>
      </c>
      <c r="M164">
        <f t="shared" ca="1" si="19"/>
        <v>4087.0032865980911</v>
      </c>
      <c r="N164">
        <f t="shared" ca="1" si="20"/>
        <v>264.33533064715527</v>
      </c>
      <c r="O164" s="4">
        <f t="shared" ca="1" si="21"/>
        <v>-3.339910380011251E-2</v>
      </c>
      <c r="P164" s="4">
        <f t="shared" ca="1" si="22"/>
        <v>-7.5577011223881751E-3</v>
      </c>
      <c r="Q164" s="4">
        <f t="shared" ca="1" si="23"/>
        <v>2.6985613727645349E-2</v>
      </c>
      <c r="R164" s="4" cm="1">
        <f t="array" aca="1" ref="R164" ca="1">_xlfn._xlws.SORT(SUMPRODUCT($U$2:$W$2,O164:Q164))</f>
        <v>-4.9471274706954175E-3</v>
      </c>
      <c r="S164" s="4">
        <f ca="1"/>
        <v>6.4986926235537559E-3</v>
      </c>
    </row>
    <row r="165" spans="1:19" x14ac:dyDescent="0.25">
      <c r="A165" s="4">
        <f>IFERROR(Merged_data[[#This Row],[BTCUSD_Close]]/Merged_data!D164-1,"")</f>
        <v>3.3933698773165322E-3</v>
      </c>
      <c r="B165" s="4">
        <f>IFERROR(Merged_data[[#This Row],[XAUUSD_Close]]/Merged_data!C164-1, "")</f>
        <v>9.7757664988340487E-4</v>
      </c>
      <c r="C165" s="4">
        <f>IFERROR(Merged_data[[#This Row],[AAPL_Close]]/Merged_data!B164-1,"")</f>
        <v>2.4875621890547706E-3</v>
      </c>
      <c r="D165" s="4">
        <f t="shared" si="16"/>
        <v>2.1553102798647526E-3</v>
      </c>
      <c r="E165">
        <f t="shared" ca="1" si="17"/>
        <v>0.41357633277237393</v>
      </c>
      <c r="F165">
        <f t="shared" ca="1" si="17"/>
        <v>-0.56681581737011322</v>
      </c>
      <c r="G165">
        <f t="shared" ca="1" si="17"/>
        <v>-0.83147577711779919</v>
      </c>
      <c r="H165">
        <f ca="1"/>
        <v>0.41357633277237393</v>
      </c>
      <c r="I165">
        <f ca="1"/>
        <v>-0.54431982972701998</v>
      </c>
      <c r="J165">
        <f ca="1"/>
        <v>-0.6865714815997136</v>
      </c>
      <c r="K165">
        <v>163</v>
      </c>
      <c r="L165">
        <f t="shared" ca="1" si="18"/>
        <v>111223.59406969702</v>
      </c>
      <c r="M165">
        <f t="shared" ca="1" si="19"/>
        <v>4093.3752723500547</v>
      </c>
      <c r="N165">
        <f t="shared" ca="1" si="20"/>
        <v>257.59284133545577</v>
      </c>
      <c r="O165" s="4">
        <f t="shared" ca="1" si="21"/>
        <v>1.9679981346085302E-2</v>
      </c>
      <c r="P165" s="4">
        <f t="shared" ca="1" si="22"/>
        <v>1.5578709456439512E-3</v>
      </c>
      <c r="Q165" s="4">
        <f t="shared" ca="1" si="23"/>
        <v>-2.5838284983172616E-2</v>
      </c>
      <c r="R165" s="4" cm="1">
        <f t="array" aca="1" ref="R165" ca="1">_xlfn._xlws.SORT(SUMPRODUCT($U$2:$W$2,O165:Q165))</f>
        <v>-1.2243427128686138E-3</v>
      </c>
      <c r="S165" s="4">
        <f ca="1"/>
        <v>6.6231723589135786E-3</v>
      </c>
    </row>
    <row r="166" spans="1:19" x14ac:dyDescent="0.25">
      <c r="A166" s="4">
        <f>IFERROR(Merged_data[[#This Row],[BTCUSD_Close]]/Merged_data!D165-1,"")</f>
        <v>2.2324353489806104E-2</v>
      </c>
      <c r="B166" s="4">
        <f>IFERROR(Merged_data[[#This Row],[XAUUSD_Close]]/Merged_data!C165-1, "")</f>
        <v>-1.3274933914754983E-2</v>
      </c>
      <c r="C166" s="4">
        <f>IFERROR(Merged_data[[#This Row],[AAPL_Close]]/Merged_data!B165-1,"")</f>
        <v>-5.9553349875930417E-3</v>
      </c>
      <c r="D166" s="4">
        <f t="shared" si="16"/>
        <v>-3.9926801523807527E-4</v>
      </c>
      <c r="E166">
        <f t="shared" ca="1" si="17"/>
        <v>2.1658639293968025</v>
      </c>
      <c r="F166">
        <f t="shared" ca="1" si="17"/>
        <v>-1.6574187983126087</v>
      </c>
      <c r="G166">
        <f t="shared" ca="1" si="17"/>
        <v>-0.11601743338526863</v>
      </c>
      <c r="H166">
        <f ca="1"/>
        <v>2.1658639293968025</v>
      </c>
      <c r="I166">
        <f ca="1"/>
        <v>-1.5414173689126083</v>
      </c>
      <c r="J166">
        <f ca="1"/>
        <v>0.48013291965156074</v>
      </c>
      <c r="K166">
        <v>164</v>
      </c>
      <c r="L166">
        <f t="shared" ca="1" si="18"/>
        <v>116634.43412565027</v>
      </c>
      <c r="M166">
        <f t="shared" ca="1" si="19"/>
        <v>4043.8892017166836</v>
      </c>
      <c r="N166">
        <f t="shared" ca="1" si="20"/>
        <v>263.86157440351082</v>
      </c>
      <c r="O166" s="4">
        <f t="shared" ca="1" si="21"/>
        <v>4.7502012524384754E-2</v>
      </c>
      <c r="P166" s="4">
        <f t="shared" ca="1" si="22"/>
        <v>-1.21629770943675E-2</v>
      </c>
      <c r="Q166" s="4">
        <f t="shared" ca="1" si="23"/>
        <v>2.4044422254490432E-2</v>
      </c>
      <c r="R166" s="4" cm="1">
        <f t="array" aca="1" ref="R166" ca="1">_xlfn._xlws.SORT(SUMPRODUCT($U$2:$W$2,O166:Q166))</f>
        <v>1.6598739595915554E-2</v>
      </c>
      <c r="S166" s="4">
        <f ca="1"/>
        <v>6.7654623090711834E-3</v>
      </c>
    </row>
    <row r="167" spans="1:19" x14ac:dyDescent="0.25">
      <c r="A167" s="4">
        <f>IFERROR(Merged_data[[#This Row],[BTCUSD_Close]]/Merged_data!D166-1,"")</f>
        <v>1.4815512935300035E-2</v>
      </c>
      <c r="B167" s="4">
        <f>IFERROR(Merged_data[[#This Row],[XAUUSD_Close]]/Merged_data!C166-1, "")</f>
        <v>2.4849317170247964E-3</v>
      </c>
      <c r="C167" s="4">
        <f>IFERROR(Merged_data[[#This Row],[AAPL_Close]]/Merged_data!B166-1,"")</f>
        <v>6.2905641537693846E-3</v>
      </c>
      <c r="D167" s="4">
        <f t="shared" si="16"/>
        <v>7.3257958135307449E-3</v>
      </c>
      <c r="E167">
        <f t="shared" ca="1" si="17"/>
        <v>-0.17082035531970707</v>
      </c>
      <c r="F167">
        <f t="shared" ca="1" si="17"/>
        <v>-1.6513686623342811</v>
      </c>
      <c r="G167">
        <f t="shared" ca="1" si="17"/>
        <v>0.38737960873229615</v>
      </c>
      <c r="H167">
        <f ca="1"/>
        <v>-0.17082035531970707</v>
      </c>
      <c r="I167">
        <f ca="1"/>
        <v>-1.6580596615262859</v>
      </c>
      <c r="J167">
        <f ca="1"/>
        <v>0.33246567492992041</v>
      </c>
      <c r="K167">
        <v>165</v>
      </c>
      <c r="L167">
        <f t="shared" ca="1" si="18"/>
        <v>109475.07891062755</v>
      </c>
      <c r="M167">
        <f t="shared" ca="1" si="19"/>
        <v>4038.1383910120649</v>
      </c>
      <c r="N167">
        <f t="shared" ca="1" si="20"/>
        <v>263.05954542791136</v>
      </c>
      <c r="O167" s="4">
        <f t="shared" ca="1" si="21"/>
        <v>-6.3347615223528289E-2</v>
      </c>
      <c r="P167" s="4">
        <f t="shared" ca="1" si="22"/>
        <v>-1.4231111213625336E-3</v>
      </c>
      <c r="Q167" s="4">
        <f t="shared" ca="1" si="23"/>
        <v>-3.0442112293304151E-3</v>
      </c>
      <c r="R167" s="4" cm="1">
        <f t="array" aca="1" ref="R167" ca="1">_xlfn._xlws.SORT(SUMPRODUCT($U$2:$W$2,O167:Q167))</f>
        <v>-2.0486792384402625E-2</v>
      </c>
      <c r="S167" s="4">
        <f ca="1"/>
        <v>6.780432339234102E-3</v>
      </c>
    </row>
    <row r="168" spans="1:19" x14ac:dyDescent="0.25">
      <c r="A168" s="4">
        <f>IFERROR(Merged_data[[#This Row],[BTCUSD_Close]]/Merged_data!D167-1,"")</f>
        <v>-5.3028966260204591E-3</v>
      </c>
      <c r="B168" s="4">
        <f>IFERROR(Merged_data[[#This Row],[XAUUSD_Close]]/Merged_data!C167-1, "")</f>
        <v>-1.3174103733312181E-3</v>
      </c>
      <c r="C168" s="4">
        <f>IFERROR(Merged_data[[#This Row],[AAPL_Close]]/Merged_data!B167-1,"")</f>
        <v>-2.7783290335383626E-3</v>
      </c>
      <c r="D168" s="4">
        <f t="shared" si="16"/>
        <v>-2.9513318472001336E-3</v>
      </c>
      <c r="E168">
        <f t="shared" ca="1" si="17"/>
        <v>-0.94403192300465466</v>
      </c>
      <c r="F168">
        <f t="shared" ca="1" si="17"/>
        <v>1.0191700828015118</v>
      </c>
      <c r="G168">
        <f t="shared" ca="1" si="17"/>
        <v>1.0716944082743303</v>
      </c>
      <c r="H168">
        <f ca="1"/>
        <v>-0.94403192300465466</v>
      </c>
      <c r="I168">
        <f ca="1"/>
        <v>0.96819941057714676</v>
      </c>
      <c r="J168">
        <f ca="1"/>
        <v>0.77271898859032773</v>
      </c>
      <c r="K168">
        <v>166</v>
      </c>
      <c r="L168">
        <f t="shared" ca="1" si="18"/>
        <v>107204.06267188331</v>
      </c>
      <c r="M168">
        <f t="shared" ca="1" si="19"/>
        <v>4169.5946223783403</v>
      </c>
      <c r="N168">
        <f t="shared" ca="1" si="20"/>
        <v>265.45703298822696</v>
      </c>
      <c r="O168" s="4">
        <f t="shared" ca="1" si="21"/>
        <v>-2.096278751956979E-2</v>
      </c>
      <c r="P168" s="4">
        <f t="shared" ca="1" si="22"/>
        <v>3.2035026755528613E-2</v>
      </c>
      <c r="Q168" s="4">
        <f t="shared" ca="1" si="23"/>
        <v>9.072578243730688E-3</v>
      </c>
      <c r="R168" s="4" cm="1">
        <f t="array" aca="1" ref="R168" ca="1">_xlfn._xlws.SORT(SUMPRODUCT($U$2:$W$2,O168:Q168))</f>
        <v>9.2469479194597151E-3</v>
      </c>
      <c r="S168" s="4">
        <f ca="1"/>
        <v>7.0748624109207257E-3</v>
      </c>
    </row>
    <row r="169" spans="1:19" x14ac:dyDescent="0.25">
      <c r="A169" s="4">
        <f>IFERROR(Merged_data[[#This Row],[BTCUSD_Close]]/Merged_data!D168-1,"")</f>
        <v>-2.0820495583814269E-3</v>
      </c>
      <c r="B169" s="4">
        <f>IFERROR(Merged_data[[#This Row],[XAUUSD_Close]]/Merged_data!C168-1, "")</f>
        <v>-1.7058780223594083E-2</v>
      </c>
      <c r="C169" s="4">
        <f>IFERROR(Merged_data[[#This Row],[AAPL_Close]]/Merged_data!B168-1,"")</f>
        <v>3.9800995024874553E-4</v>
      </c>
      <c r="D169" s="4">
        <f t="shared" si="16"/>
        <v>-7.3287239718774384E-3</v>
      </c>
      <c r="E169">
        <f t="shared" ca="1" si="17"/>
        <v>0.39382361946437322</v>
      </c>
      <c r="F169">
        <f t="shared" ca="1" si="17"/>
        <v>1.9599355216443879</v>
      </c>
      <c r="G169">
        <f t="shared" ca="1" si="17"/>
        <v>0.28482482504886381</v>
      </c>
      <c r="H169">
        <f ca="1"/>
        <v>0.39382361946437322</v>
      </c>
      <c r="I169">
        <f ca="1"/>
        <v>1.9779093770871574</v>
      </c>
      <c r="J169">
        <f ca="1"/>
        <v>0.37392365186018001</v>
      </c>
      <c r="K169">
        <v>167</v>
      </c>
      <c r="L169">
        <f t="shared" ca="1" si="18"/>
        <v>111163.39530991515</v>
      </c>
      <c r="M169">
        <f t="shared" ca="1" si="19"/>
        <v>4221.2658401535809</v>
      </c>
      <c r="N169">
        <f t="shared" ca="1" si="20"/>
        <v>263.28395860091592</v>
      </c>
      <c r="O169" s="4">
        <f t="shared" ca="1" si="21"/>
        <v>3.62670027803551E-2</v>
      </c>
      <c r="P169" s="4">
        <f t="shared" ca="1" si="22"/>
        <v>1.2316226963656699E-2</v>
      </c>
      <c r="Q169" s="4">
        <f t="shared" ca="1" si="23"/>
        <v>-8.2198530371493991E-3</v>
      </c>
      <c r="R169" s="4" cm="1">
        <f t="array" aca="1" ref="R169" ca="1">_xlfn._xlws.SORT(SUMPRODUCT($U$2:$W$2,O169:Q169))</f>
        <v>1.334063570842439E-2</v>
      </c>
      <c r="S169" s="4">
        <f ca="1"/>
        <v>7.4549956468578909E-3</v>
      </c>
    </row>
    <row r="170" spans="1:19" x14ac:dyDescent="0.25">
      <c r="A170" s="4">
        <f>IFERROR(Merged_data[[#This Row],[BTCUSD_Close]]/Merged_data!D169-1,"")</f>
        <v>2.7132471955315651E-3</v>
      </c>
      <c r="B170" s="4">
        <f>IFERROR(Merged_data[[#This Row],[XAUUSD_Close]]/Merged_data!C169-1, "")</f>
        <v>9.7565523893083927E-3</v>
      </c>
      <c r="C170" s="4">
        <f>IFERROR(Merged_data[[#This Row],[AAPL_Close]]/Merged_data!B169-1,"")</f>
        <v>2.0340163119156429E-2</v>
      </c>
      <c r="D170" s="4">
        <f t="shared" si="16"/>
        <v>1.0818644050129755E-2</v>
      </c>
      <c r="E170">
        <f t="shared" ca="1" si="17"/>
        <v>0.26697508791326685</v>
      </c>
      <c r="F170">
        <f t="shared" ca="1" si="17"/>
        <v>-0.12036850497997638</v>
      </c>
      <c r="G170">
        <f t="shared" ca="1" si="17"/>
        <v>0.12347764752855096</v>
      </c>
      <c r="H170">
        <f ca="1"/>
        <v>0.26697508791326685</v>
      </c>
      <c r="I170">
        <f ca="1"/>
        <v>-0.1061853612712171</v>
      </c>
      <c r="J170">
        <f ca="1"/>
        <v>0.19152896219699575</v>
      </c>
      <c r="K170">
        <v>168</v>
      </c>
      <c r="L170">
        <f t="shared" ca="1" si="18"/>
        <v>110781.62085291363</v>
      </c>
      <c r="M170">
        <f t="shared" ca="1" si="19"/>
        <v>4115.3043243920574</v>
      </c>
      <c r="N170">
        <f t="shared" ca="1" si="20"/>
        <v>262.29588833407666</v>
      </c>
      <c r="O170" s="4">
        <f t="shared" ca="1" si="21"/>
        <v>-3.4402649822051702E-3</v>
      </c>
      <c r="P170" s="4">
        <f t="shared" ca="1" si="22"/>
        <v>-2.5422258900685502E-2</v>
      </c>
      <c r="Q170" s="4">
        <f t="shared" ca="1" si="23"/>
        <v>-3.7599289114131104E-3</v>
      </c>
      <c r="R170" s="4" cm="1">
        <f t="array" aca="1" ref="R170" ca="1">_xlfn._xlws.SORT(SUMPRODUCT($U$2:$W$2,O170:Q170))</f>
        <v>-1.2328961728359686E-2</v>
      </c>
      <c r="S170" s="4">
        <f ca="1"/>
        <v>8.1087323223507039E-3</v>
      </c>
    </row>
    <row r="171" spans="1:19" x14ac:dyDescent="0.25">
      <c r="A171" s="4">
        <f>IFERROR(Merged_data[[#This Row],[BTCUSD_Close]]/Merged_data!D170-1,"")</f>
        <v>-1.273641682140092E-2</v>
      </c>
      <c r="B171" s="4">
        <f>IFERROR(Merged_data[[#This Row],[XAUUSD_Close]]/Merged_data!C170-1, "")</f>
        <v>1.0740073568368702E-2</v>
      </c>
      <c r="C171" s="4">
        <f>IFERROR(Merged_data[[#This Row],[AAPL_Close]]/Merged_data!B170-1,"")</f>
        <v>1.2916118340888127E-2</v>
      </c>
      <c r="D171" s="4">
        <f t="shared" si="16"/>
        <v>4.3499398831936438E-3</v>
      </c>
      <c r="E171">
        <f t="shared" ca="1" si="17"/>
        <v>1.5622336494857547</v>
      </c>
      <c r="F171">
        <f t="shared" ca="1" si="17"/>
        <v>0.395988433859226</v>
      </c>
      <c r="G171">
        <f t="shared" ca="1" si="17"/>
        <v>0.47468178975882308</v>
      </c>
      <c r="H171">
        <f ca="1"/>
        <v>1.5622336494857547</v>
      </c>
      <c r="I171">
        <f ca="1"/>
        <v>0.4774649844576967</v>
      </c>
      <c r="J171">
        <f ca="1"/>
        <v>0.87830120009225499</v>
      </c>
      <c r="K171">
        <v>169</v>
      </c>
      <c r="L171">
        <f t="shared" ca="1" si="18"/>
        <v>114740.50580159463</v>
      </c>
      <c r="M171">
        <f t="shared" ca="1" si="19"/>
        <v>4144.7061885506137</v>
      </c>
      <c r="N171">
        <f t="shared" ca="1" si="20"/>
        <v>266.03461673250382</v>
      </c>
      <c r="O171" s="4">
        <f t="shared" ca="1" si="21"/>
        <v>3.5112223629851724E-2</v>
      </c>
      <c r="P171" s="4">
        <f t="shared" ca="1" si="22"/>
        <v>7.1191164443945862E-3</v>
      </c>
      <c r="Q171" s="4">
        <f t="shared" ca="1" si="23"/>
        <v>1.4153227089043005E-2</v>
      </c>
      <c r="R171" s="4" cm="1">
        <f t="array" aca="1" ref="R171" ca="1">_xlfn._xlws.SORT(SUMPRODUCT($U$2:$W$2,O171:Q171))</f>
        <v>1.7627281793426253E-2</v>
      </c>
      <c r="S171" s="4">
        <f ca="1"/>
        <v>8.1559951987922961E-3</v>
      </c>
    </row>
    <row r="172" spans="1:19" x14ac:dyDescent="0.25">
      <c r="A172" s="4">
        <f>IFERROR(Merged_data[[#This Row],[BTCUSD_Close]]/Merged_data!D171-1,"")</f>
        <v>3.4855587479207584E-2</v>
      </c>
      <c r="B172" s="4">
        <f>IFERROR(Merged_data[[#This Row],[XAUUSD_Close]]/Merged_data!C171-1, "")</f>
        <v>5.7360660770848781E-3</v>
      </c>
      <c r="C172" s="4">
        <f>IFERROR(Merged_data[[#This Row],[AAPL_Close]]/Merged_data!B171-1,"")</f>
        <v>2.2230776633625382E-2</v>
      </c>
      <c r="D172" s="4">
        <f t="shared" si="16"/>
        <v>1.942033566468384E-2</v>
      </c>
      <c r="E172">
        <f t="shared" ca="1" si="17"/>
        <v>0.78156991799799114</v>
      </c>
      <c r="F172">
        <f t="shared" ca="1" si="17"/>
        <v>-0.89702232728170461</v>
      </c>
      <c r="G172">
        <f t="shared" ca="1" si="17"/>
        <v>-0.86908587855308683</v>
      </c>
      <c r="H172">
        <f ca="1"/>
        <v>0.78156991799799114</v>
      </c>
      <c r="I172">
        <f ca="1"/>
        <v>-0.85474995103622209</v>
      </c>
      <c r="J172">
        <f ca="1"/>
        <v>-0.6220547107222113</v>
      </c>
      <c r="K172">
        <v>170</v>
      </c>
      <c r="L172">
        <f t="shared" ca="1" si="18"/>
        <v>112337.56325887865</v>
      </c>
      <c r="M172">
        <f t="shared" ca="1" si="19"/>
        <v>4077.8958644988829</v>
      </c>
      <c r="N172">
        <f t="shared" ca="1" si="20"/>
        <v>257.93404079765941</v>
      </c>
      <c r="O172" s="4">
        <f t="shared" ca="1" si="21"/>
        <v>-2.1164811306338488E-2</v>
      </c>
      <c r="P172" s="4">
        <f t="shared" ca="1" si="22"/>
        <v>-1.6250766832219044E-2</v>
      </c>
      <c r="Q172" s="4">
        <f t="shared" ca="1" si="23"/>
        <v>-3.0922541993520847E-2</v>
      </c>
      <c r="R172" s="4" cm="1">
        <f t="array" aca="1" ref="R172" ca="1">_xlfn._xlws.SORT(SUMPRODUCT($U$2:$W$2,O172:Q172))</f>
        <v>-2.2126512722845416E-2</v>
      </c>
      <c r="S172" s="4">
        <f ca="1"/>
        <v>8.3211625165769826E-3</v>
      </c>
    </row>
    <row r="173" spans="1:19" x14ac:dyDescent="0.25">
      <c r="A173" s="4">
        <f>IFERROR(Merged_data[[#This Row],[BTCUSD_Close]]/Merged_data!D172-1,"")</f>
        <v>3.360853364506422E-3</v>
      </c>
      <c r="B173" s="4">
        <f>IFERROR(Merged_data[[#This Row],[XAUUSD_Close]]/Merged_data!C172-1, "")</f>
        <v>-9.4023394164116647E-3</v>
      </c>
      <c r="C173" s="4">
        <f>IFERROR(Merged_data[[#This Row],[AAPL_Close]]/Merged_data!B172-1,"")</f>
        <v>5.2250047072115446E-3</v>
      </c>
      <c r="D173" s="4">
        <f t="shared" si="16"/>
        <v>-1.1851783450492763E-3</v>
      </c>
      <c r="E173">
        <f t="shared" ca="1" si="17"/>
        <v>-9.0552596965207371E-2</v>
      </c>
      <c r="F173">
        <f t="shared" ca="1" si="17"/>
        <v>-0.46948134386326512</v>
      </c>
      <c r="G173">
        <f t="shared" ca="1" si="17"/>
        <v>-1.3816079671672297</v>
      </c>
      <c r="H173">
        <f ca="1"/>
        <v>-9.0552596965207371E-2</v>
      </c>
      <c r="I173">
        <f ca="1"/>
        <v>-0.4735881347816483</v>
      </c>
      <c r="J173">
        <f ca="1"/>
        <v>-1.3529258513038629</v>
      </c>
      <c r="K173">
        <v>171</v>
      </c>
      <c r="L173">
        <f t="shared" ca="1" si="18"/>
        <v>109712.58589773605</v>
      </c>
      <c r="M173">
        <f t="shared" ca="1" si="19"/>
        <v>4096.8987313541011</v>
      </c>
      <c r="N173">
        <f t="shared" ca="1" si="20"/>
        <v>254.07769449740204</v>
      </c>
      <c r="O173" s="4">
        <f t="shared" ca="1" si="21"/>
        <v>-2.3644205246118558E-2</v>
      </c>
      <c r="P173" s="4">
        <f t="shared" ca="1" si="22"/>
        <v>4.64914460188147E-3</v>
      </c>
      <c r="Q173" s="4">
        <f t="shared" ca="1" si="23"/>
        <v>-1.5063792319421336E-2</v>
      </c>
      <c r="R173" s="4" cm="1">
        <f t="array" aca="1" ref="R173" ca="1">_xlfn._xlws.SORT(SUMPRODUCT($U$2:$W$2,O173:Q173))</f>
        <v>-9.752741428909379E-3</v>
      </c>
      <c r="S173" s="4">
        <f ca="1"/>
        <v>8.4686795380031314E-3</v>
      </c>
    </row>
    <row r="174" spans="1:19" x14ac:dyDescent="0.25">
      <c r="A174" s="4">
        <f>IFERROR(Merged_data[[#This Row],[BTCUSD_Close]]/Merged_data!D173-1,"")</f>
        <v>-1.4954853273137725E-2</v>
      </c>
      <c r="B174" s="4">
        <f>IFERROR(Merged_data[[#This Row],[XAUUSD_Close]]/Merged_data!C173-1, "")</f>
        <v>3.2650803266884854E-3</v>
      </c>
      <c r="C174" s="4">
        <f>IFERROR(Merged_data[[#This Row],[AAPL_Close]]/Merged_data!B173-1,"")</f>
        <v>-1.6857878716928232E-2</v>
      </c>
      <c r="D174" s="4">
        <f t="shared" si="16"/>
        <v>-8.2377874663443935E-3</v>
      </c>
      <c r="E174">
        <f t="shared" ca="1" si="17"/>
        <v>-0.19714178360542736</v>
      </c>
      <c r="F174">
        <f t="shared" ca="1" si="17"/>
        <v>-9.0641160356764769E-2</v>
      </c>
      <c r="G174">
        <f t="shared" ca="1" si="17"/>
        <v>-2.4151423844154412</v>
      </c>
      <c r="H174">
        <f ca="1"/>
        <v>-0.19714178360542736</v>
      </c>
      <c r="I174">
        <f ca="1"/>
        <v>-0.10086677466937857</v>
      </c>
      <c r="J174">
        <f ca="1"/>
        <v>-2.3780623633894948</v>
      </c>
      <c r="K174">
        <v>172</v>
      </c>
      <c r="L174">
        <f t="shared" ca="1" si="18"/>
        <v>109395.85981699736</v>
      </c>
      <c r="M174">
        <f t="shared" ca="1" si="19"/>
        <v>4115.5664012145162</v>
      </c>
      <c r="N174">
        <f t="shared" ca="1" si="20"/>
        <v>248.76573472561768</v>
      </c>
      <c r="O174" s="4">
        <f t="shared" ca="1" si="21"/>
        <v>-2.8910460325625191E-3</v>
      </c>
      <c r="P174" s="4">
        <f t="shared" ca="1" si="22"/>
        <v>4.5461872192405868E-3</v>
      </c>
      <c r="Q174" s="4">
        <f t="shared" ca="1" si="23"/>
        <v>-2.1128474877109452E-2</v>
      </c>
      <c r="R174" s="4" cm="1">
        <f t="array" aca="1" ref="R174" ca="1">_xlfn._xlws.SORT(SUMPRODUCT($U$2:$W$2,O174:Q174))</f>
        <v>-5.3873813852053573E-3</v>
      </c>
      <c r="S174" s="4">
        <f ca="1"/>
        <v>8.6108193701698015E-3</v>
      </c>
    </row>
    <row r="175" spans="1:19" x14ac:dyDescent="0.25">
      <c r="A175" s="4">
        <f>IFERROR(Merged_data[[#This Row],[BTCUSD_Close]]/Merged_data!D174-1,"")</f>
        <v>6.2741981685625614E-3</v>
      </c>
      <c r="B175" s="4">
        <f>IFERROR(Merged_data[[#This Row],[XAUUSD_Close]]/Merged_data!C174-1, "")</f>
        <v>-1.0596455162100948E-2</v>
      </c>
      <c r="C175" s="4">
        <f>IFERROR(Merged_data[[#This Row],[AAPL_Close]]/Merged_data!B174-1,"")</f>
        <v>2.8578232912601642E-4</v>
      </c>
      <c r="D175" s="4">
        <f t="shared" si="16"/>
        <v>-2.2705879155338064E-3</v>
      </c>
      <c r="E175">
        <f t="shared" ca="1" si="17"/>
        <v>0.1042483264876396</v>
      </c>
      <c r="F175">
        <f t="shared" ca="1" si="17"/>
        <v>1.317093933707403</v>
      </c>
      <c r="G175">
        <f t="shared" ca="1" si="17"/>
        <v>-1.5898903366661647</v>
      </c>
      <c r="H175">
        <f ca="1"/>
        <v>0.1042483264876396</v>
      </c>
      <c r="I175">
        <f ca="1"/>
        <v>1.3207507205321489</v>
      </c>
      <c r="J175">
        <f ca="1"/>
        <v>-1.5069591188945479</v>
      </c>
      <c r="K175">
        <v>173</v>
      </c>
      <c r="L175">
        <f t="shared" ca="1" si="18"/>
        <v>110293.17835513744</v>
      </c>
      <c r="M175">
        <f t="shared" ca="1" si="19"/>
        <v>4187.5556089607571</v>
      </c>
      <c r="N175">
        <f t="shared" ca="1" si="20"/>
        <v>253.27195666966162</v>
      </c>
      <c r="O175" s="4">
        <f t="shared" ca="1" si="21"/>
        <v>8.169033245094319E-3</v>
      </c>
      <c r="P175" s="4">
        <f t="shared" ca="1" si="22"/>
        <v>1.7340709092240603E-2</v>
      </c>
      <c r="Q175" s="4">
        <f t="shared" ca="1" si="23"/>
        <v>1.7952209738114507E-2</v>
      </c>
      <c r="R175" s="4" cm="1">
        <f t="array" aca="1" ref="R175" ca="1">_xlfn._xlws.SORT(SUMPRODUCT($U$2:$W$2,O175:Q175))</f>
        <v>1.4772656531858889E-2</v>
      </c>
      <c r="S175" s="4">
        <f ca="1"/>
        <v>8.9693580977023117E-3</v>
      </c>
    </row>
    <row r="176" spans="1:19" x14ac:dyDescent="0.25">
      <c r="A176" s="4">
        <f>IFERROR(Merged_data[[#This Row],[BTCUSD_Close]]/Merged_data!D175-1,"")</f>
        <v>1.7970615243342536E-2</v>
      </c>
      <c r="B176" s="4">
        <f>IFERROR(Merged_data[[#This Row],[XAUUSD_Close]]/Merged_data!C175-1, "")</f>
        <v>3.6588265404249309E-3</v>
      </c>
      <c r="C176" s="4">
        <f>IFERROR(Merged_data[[#This Row],[AAPL_Close]]/Merged_data!B175-1,"")</f>
        <v>5.3806961573257261E-3</v>
      </c>
      <c r="D176" s="4">
        <f t="shared" si="16"/>
        <v>8.468924036370451E-3</v>
      </c>
      <c r="E176">
        <f t="shared" ca="1" si="17"/>
        <v>0.97697111239492673</v>
      </c>
      <c r="F176">
        <f t="shared" ca="1" si="17"/>
        <v>-0.63105916341384793</v>
      </c>
      <c r="G176">
        <f t="shared" ca="1" si="17"/>
        <v>-0.57362581295829473</v>
      </c>
      <c r="H176">
        <f ca="1"/>
        <v>0.97697111239492673</v>
      </c>
      <c r="I176">
        <f ca="1"/>
        <v>-0.57889437440519309</v>
      </c>
      <c r="J176">
        <f ca="1"/>
        <v>-0.2856737769039438</v>
      </c>
      <c r="K176">
        <v>174</v>
      </c>
      <c r="L176">
        <f t="shared" ca="1" si="18"/>
        <v>112933.55137478047</v>
      </c>
      <c r="M176">
        <f t="shared" ca="1" si="19"/>
        <v>4091.6358357431782</v>
      </c>
      <c r="N176">
        <f t="shared" ca="1" si="20"/>
        <v>259.72753802731546</v>
      </c>
      <c r="O176" s="4">
        <f t="shared" ca="1" si="21"/>
        <v>2.3657526752038204E-2</v>
      </c>
      <c r="P176" s="4">
        <f t="shared" ca="1" si="22"/>
        <v>-2.3172326883330079E-2</v>
      </c>
      <c r="Q176" s="4">
        <f t="shared" ca="1" si="23"/>
        <v>2.5169311933463327E-2</v>
      </c>
      <c r="R176" s="4" cm="1">
        <f t="array" aca="1" ref="R176" ca="1">_xlfn._xlws.SORT(SUMPRODUCT($U$2:$W$2,O176:Q176))</f>
        <v>5.379120852318427E-3</v>
      </c>
      <c r="S176" s="4">
        <f ca="1"/>
        <v>9.1125834136713598E-3</v>
      </c>
    </row>
    <row r="177" spans="1:19" x14ac:dyDescent="0.25">
      <c r="A177" s="4">
        <f>IFERROR(Merged_data[[#This Row],[BTCUSD_Close]]/Merged_data!D176-1,"")</f>
        <v>5.0741044769387678E-2</v>
      </c>
      <c r="B177" s="4">
        <f>IFERROR(Merged_data[[#This Row],[XAUUSD_Close]]/Merged_data!C176-1, "")</f>
        <v>3.1264287341736807E-3</v>
      </c>
      <c r="C177" s="4">
        <f>IFERROR(Merged_data[[#This Row],[AAPL_Close]]/Merged_data!B176-1,"")</f>
        <v>6.0149663730226788E-3</v>
      </c>
      <c r="D177" s="4">
        <f t="shared" si="16"/>
        <v>1.8277374836392576E-2</v>
      </c>
      <c r="E177">
        <f t="shared" ca="1" si="17"/>
        <v>0.95043211552502382</v>
      </c>
      <c r="F177">
        <f t="shared" ca="1" si="17"/>
        <v>-0.18073657990002373</v>
      </c>
      <c r="G177">
        <f t="shared" ca="1" si="17"/>
        <v>0.24100282542580151</v>
      </c>
      <c r="H177">
        <f ca="1"/>
        <v>0.95043211552502382</v>
      </c>
      <c r="I177">
        <f ca="1"/>
        <v>-0.13058629259268995</v>
      </c>
      <c r="J177">
        <f ca="1"/>
        <v>0.48981028930913378</v>
      </c>
      <c r="K177">
        <v>175</v>
      </c>
      <c r="L177">
        <f t="shared" ca="1" si="18"/>
        <v>112852.16326289231</v>
      </c>
      <c r="M177">
        <f t="shared" ca="1" si="19"/>
        <v>4114.0710041699676</v>
      </c>
      <c r="N177">
        <f t="shared" ca="1" si="20"/>
        <v>263.9117298341738</v>
      </c>
      <c r="O177" s="4">
        <f t="shared" ca="1" si="21"/>
        <v>-7.2093237203991079E-4</v>
      </c>
      <c r="P177" s="4">
        <f t="shared" ca="1" si="22"/>
        <v>5.4682003068565223E-3</v>
      </c>
      <c r="Q177" s="4">
        <f t="shared" ca="1" si="23"/>
        <v>1.5981539659801827E-2</v>
      </c>
      <c r="R177" s="4" cm="1">
        <f t="array" aca="1" ref="R177" ca="1">_xlfn._xlws.SORT(SUMPRODUCT($U$2:$W$2,O177:Q177))</f>
        <v>6.7654623090711834E-3</v>
      </c>
      <c r="S177" s="4">
        <f ca="1"/>
        <v>9.1195781193565903E-3</v>
      </c>
    </row>
    <row r="178" spans="1:19" x14ac:dyDescent="0.25">
      <c r="A178" s="4">
        <f>IFERROR(Merged_data[[#This Row],[BTCUSD_Close]]/Merged_data!D177-1,"")</f>
        <v>1.3272436943047028E-2</v>
      </c>
      <c r="B178" s="4">
        <f>IFERROR(Merged_data[[#This Row],[XAUUSD_Close]]/Merged_data!C177-1, "")</f>
        <v>9.7471604626291342E-3</v>
      </c>
      <c r="C178" s="4">
        <f>IFERROR(Merged_data[[#This Row],[AAPL_Close]]/Merged_data!B177-1,"")</f>
        <v>-5.8848453462643224E-3</v>
      </c>
      <c r="D178" s="4">
        <f t="shared" si="16"/>
        <v>6.1151416640864648E-3</v>
      </c>
      <c r="E178">
        <f t="shared" ca="1" si="17"/>
        <v>2.1510296060207938</v>
      </c>
      <c r="F178">
        <f t="shared" ca="1" si="17"/>
        <v>0.22081873159948348</v>
      </c>
      <c r="G178">
        <f t="shared" ca="1" si="17"/>
        <v>0.37569525793421737</v>
      </c>
      <c r="H178">
        <f ca="1"/>
        <v>2.1510296060207938</v>
      </c>
      <c r="I178">
        <f ca="1"/>
        <v>0.33345073027433048</v>
      </c>
      <c r="J178">
        <f ca="1"/>
        <v>0.94293559299799656</v>
      </c>
      <c r="K178">
        <v>176</v>
      </c>
      <c r="L178">
        <f t="shared" ca="1" si="18"/>
        <v>116585.47441996195</v>
      </c>
      <c r="M178">
        <f t="shared" ca="1" si="19"/>
        <v>4137.4229305408553</v>
      </c>
      <c r="N178">
        <f t="shared" ca="1" si="20"/>
        <v>266.38764366770221</v>
      </c>
      <c r="O178" s="4">
        <f t="shared" ca="1" si="21"/>
        <v>3.2546017552730976E-2</v>
      </c>
      <c r="P178" s="4">
        <f t="shared" ca="1" si="22"/>
        <v>5.6600632317247712E-3</v>
      </c>
      <c r="Q178" s="4">
        <f t="shared" ca="1" si="23"/>
        <v>9.3378644138611602E-3</v>
      </c>
      <c r="R178" s="4" cm="1">
        <f t="array" aca="1" ref="R178" ca="1">_xlfn._xlws.SORT(SUMPRODUCT($U$2:$W$2,O178:Q178))</f>
        <v>1.4829189882667548E-2</v>
      </c>
      <c r="S178" s="4">
        <f ca="1"/>
        <v>9.1650732555730394E-3</v>
      </c>
    </row>
    <row r="179" spans="1:19" x14ac:dyDescent="0.25">
      <c r="A179" s="4">
        <f>IFERROR(Merged_data[[#This Row],[BTCUSD_Close]]/Merged_data!D178-1,"")</f>
        <v>1.7004439624495937E-2</v>
      </c>
      <c r="B179" s="4">
        <f>IFERROR(Merged_data[[#This Row],[XAUUSD_Close]]/Merged_data!C178-1, "")</f>
        <v>-3.8552694889980588E-3</v>
      </c>
      <c r="C179" s="4">
        <f>IFERROR(Merged_data[[#This Row],[AAPL_Close]]/Merged_data!B178-1,"")</f>
        <v>-1.2028793332070409E-2</v>
      </c>
      <c r="D179" s="4">
        <f t="shared" si="16"/>
        <v>-4.9413907871565139E-5</v>
      </c>
      <c r="E179">
        <f t="shared" ca="1" si="17"/>
        <v>-1.7564197750937278</v>
      </c>
      <c r="F179">
        <f t="shared" ca="1" si="17"/>
        <v>-0.6380198696705599</v>
      </c>
      <c r="G179">
        <f t="shared" ca="1" si="17"/>
        <v>1.2636280248478584</v>
      </c>
      <c r="H179">
        <f ca="1"/>
        <v>-1.7564197750937278</v>
      </c>
      <c r="I179">
        <f ca="1"/>
        <v>-0.72935804574136853</v>
      </c>
      <c r="J179">
        <f ca="1"/>
        <v>0.7434550280435247</v>
      </c>
      <c r="K179">
        <v>177</v>
      </c>
      <c r="L179">
        <f t="shared" ca="1" si="18"/>
        <v>104867.17558478315</v>
      </c>
      <c r="M179">
        <f t="shared" ca="1" si="19"/>
        <v>4084.1294034574166</v>
      </c>
      <c r="N179">
        <f t="shared" ca="1" si="20"/>
        <v>265.29449040664974</v>
      </c>
      <c r="O179" s="4">
        <f t="shared" ca="1" si="21"/>
        <v>-0.10593013505196859</v>
      </c>
      <c r="P179" s="4">
        <f t="shared" ca="1" si="22"/>
        <v>-1.2964528200143407E-2</v>
      </c>
      <c r="Q179" s="4">
        <f t="shared" ca="1" si="23"/>
        <v>-4.1120614417625018E-3</v>
      </c>
      <c r="R179" s="4" cm="1">
        <f t="array" aca="1" ref="R179" ca="1">_xlfn._xlws.SORT(SUMPRODUCT($U$2:$W$2,O179:Q179))</f>
        <v>-3.8198470228176691E-2</v>
      </c>
      <c r="S179" s="4">
        <f ca="1"/>
        <v>9.2198803806595678E-3</v>
      </c>
    </row>
    <row r="180" spans="1:19" x14ac:dyDescent="0.25">
      <c r="A180" s="4">
        <f>IFERROR(Merged_data[[#This Row],[BTCUSD_Close]]/Merged_data!D179-1,"")</f>
        <v>-2.071895697088344E-2</v>
      </c>
      <c r="B180" s="4">
        <f>IFERROR(Merged_data[[#This Row],[XAUUSD_Close]]/Merged_data!C179-1, "")</f>
        <v>-5.8381847791464381E-3</v>
      </c>
      <c r="C180" s="4">
        <f>IFERROR(Merged_data[[#This Row],[AAPL_Close]]/Merged_data!B179-1,"")</f>
        <v>2.3487680951010947E-3</v>
      </c>
      <c r="D180" s="4">
        <f t="shared" si="16"/>
        <v>-7.8463305743932781E-3</v>
      </c>
      <c r="E180">
        <f t="shared" ca="1" si="17"/>
        <v>-0.61412418610313135</v>
      </c>
      <c r="F180">
        <f t="shared" ca="1" si="17"/>
        <v>-1.0617025559014592</v>
      </c>
      <c r="G180">
        <f t="shared" ca="1" si="17"/>
        <v>0.56649114354618157</v>
      </c>
      <c r="H180">
        <f ca="1"/>
        <v>-0.61412418610313135</v>
      </c>
      <c r="I180">
        <f ca="1"/>
        <v>-1.0924818566590382</v>
      </c>
      <c r="J180">
        <f ca="1"/>
        <v>0.38288861902817439</v>
      </c>
      <c r="K180">
        <v>178</v>
      </c>
      <c r="L180">
        <f t="shared" ca="1" si="18"/>
        <v>108165.23830197907</v>
      </c>
      <c r="M180">
        <f t="shared" ca="1" si="19"/>
        <v>4066.077893030289</v>
      </c>
      <c r="N180">
        <f t="shared" ca="1" si="20"/>
        <v>263.33013791431017</v>
      </c>
      <c r="O180" s="4">
        <f t="shared" ca="1" si="21"/>
        <v>3.0965487222274244E-2</v>
      </c>
      <c r="P180" s="4">
        <f t="shared" ca="1" si="22"/>
        <v>-4.429713082920954E-3</v>
      </c>
      <c r="Q180" s="4">
        <f t="shared" ca="1" si="23"/>
        <v>-7.4319713033045567E-3</v>
      </c>
      <c r="R180" s="4" cm="1">
        <f t="array" aca="1" ref="R180" ca="1">_xlfn._xlws.SORT(SUMPRODUCT($U$2:$W$2,O180:Q180))</f>
        <v>5.288169542522524E-3</v>
      </c>
      <c r="S180" s="4">
        <f ca="1"/>
        <v>9.2469479194597151E-3</v>
      </c>
    </row>
    <row r="181" spans="1:19" x14ac:dyDescent="0.25">
      <c r="A181" s="4">
        <f>IFERROR(Merged_data[[#This Row],[BTCUSD_Close]]/Merged_data!D180-1,"")</f>
        <v>1.5287371967196428E-2</v>
      </c>
      <c r="B181" s="4">
        <f>IFERROR(Merged_data[[#This Row],[XAUUSD_Close]]/Merged_data!C180-1, "")</f>
        <v>7.0969032652072883E-3</v>
      </c>
      <c r="C181" s="4">
        <f>IFERROR(Merged_data[[#This Row],[AAPL_Close]]/Merged_data!B180-1,"")</f>
        <v>5.0212806656781961E-3</v>
      </c>
      <c r="D181" s="4">
        <f t="shared" si="16"/>
        <v>8.9313570959453029E-3</v>
      </c>
      <c r="E181">
        <f t="shared" ca="1" si="17"/>
        <v>0.62773779937950802</v>
      </c>
      <c r="F181">
        <f t="shared" ca="1" si="17"/>
        <v>-2.6601163700524095</v>
      </c>
      <c r="G181">
        <f t="shared" ca="1" si="17"/>
        <v>-0.12512554399658204</v>
      </c>
      <c r="H181">
        <f ca="1"/>
        <v>0.62773779937950802</v>
      </c>
      <c r="I181">
        <f ca="1"/>
        <v>-2.6234889529626981</v>
      </c>
      <c r="J181">
        <f ca="1"/>
        <v>5.8674361083525181E-2</v>
      </c>
      <c r="K181">
        <v>179</v>
      </c>
      <c r="L181">
        <f t="shared" ca="1" si="18"/>
        <v>111868.57177621288</v>
      </c>
      <c r="M181">
        <f t="shared" ca="1" si="19"/>
        <v>3990.845934635714</v>
      </c>
      <c r="N181">
        <f t="shared" ca="1" si="20"/>
        <v>261.57623040510549</v>
      </c>
      <c r="O181" s="4">
        <f t="shared" ca="1" si="21"/>
        <v>3.3664673792303854E-2</v>
      </c>
      <c r="P181" s="4">
        <f t="shared" ca="1" si="22"/>
        <v>-1.8675650063812443E-2</v>
      </c>
      <c r="Q181" s="4">
        <f t="shared" ca="1" si="23"/>
        <v>-6.6827691277101548E-3</v>
      </c>
      <c r="R181" s="4" cm="1">
        <f t="array" aca="1" ref="R181" ca="1">_xlfn._xlws.SORT(SUMPRODUCT($U$2:$W$2,O181:Q181))</f>
        <v>6.2431137385313184E-4</v>
      </c>
      <c r="S181" s="4">
        <f ca="1"/>
        <v>9.8070985708791445E-3</v>
      </c>
    </row>
    <row r="182" spans="1:19" x14ac:dyDescent="0.25">
      <c r="A182" s="4">
        <f>IFERROR(Merged_data[[#This Row],[BTCUSD_Close]]/Merged_data!D181-1,"")</f>
        <v>8.2868993254849865E-3</v>
      </c>
      <c r="B182" s="4">
        <f>IFERROR(Merged_data[[#This Row],[XAUUSD_Close]]/Merged_data!C181-1, "")</f>
        <v>-2.5003173939344148E-3</v>
      </c>
      <c r="C182" s="4">
        <f>IFERROR(Merged_data[[#This Row],[AAPL_Close]]/Merged_data!B181-1,"")</f>
        <v>-6.6615911686329632E-4</v>
      </c>
      <c r="D182" s="4">
        <f t="shared" si="16"/>
        <v>1.2860951050127408E-3</v>
      </c>
      <c r="E182">
        <f t="shared" ca="1" si="17"/>
        <v>0.26565361489119632</v>
      </c>
      <c r="F182">
        <f t="shared" ca="1" si="17"/>
        <v>1.0341243503704256</v>
      </c>
      <c r="G182">
        <f t="shared" ca="1" si="17"/>
        <v>-0.50825879685605846</v>
      </c>
      <c r="H182">
        <f ca="1"/>
        <v>0.26565361489119632</v>
      </c>
      <c r="I182">
        <f ca="1"/>
        <v>1.0466457668960718</v>
      </c>
      <c r="J182">
        <f ca="1"/>
        <v>-0.42102212876367595</v>
      </c>
      <c r="K182">
        <v>180</v>
      </c>
      <c r="L182">
        <f t="shared" ca="1" si="18"/>
        <v>110775.69050808439</v>
      </c>
      <c r="M182">
        <f t="shared" ca="1" si="19"/>
        <v>4173.5689389558593</v>
      </c>
      <c r="N182">
        <f t="shared" ca="1" si="20"/>
        <v>259.00271962646491</v>
      </c>
      <c r="O182" s="4">
        <f t="shared" ca="1" si="21"/>
        <v>-9.8173654656094345E-3</v>
      </c>
      <c r="P182" s="4">
        <f t="shared" ca="1" si="22"/>
        <v>4.4768308308483495E-2</v>
      </c>
      <c r="Q182" s="4">
        <f t="shared" ca="1" si="23"/>
        <v>-9.8871909563145958E-3</v>
      </c>
      <c r="R182" s="4" cm="1">
        <f t="array" aca="1" ref="R182" ca="1">_xlfn._xlws.SORT(SUMPRODUCT($U$2:$W$2,O182:Q182))</f>
        <v>1.199595639681619E-2</v>
      </c>
      <c r="S182" s="4">
        <f ca="1"/>
        <v>1.0171556179530659E-2</v>
      </c>
    </row>
    <row r="183" spans="1:19" x14ac:dyDescent="0.25">
      <c r="A183" s="4">
        <f>IFERROR(Merged_data[[#This Row],[BTCUSD_Close]]/Merged_data!D182-1,"")</f>
        <v>-2.4074658866155896E-2</v>
      </c>
      <c r="B183" s="4">
        <f>IFERROR(Merged_data[[#This Row],[XAUUSD_Close]]/Merged_data!C182-1, "")</f>
        <v>2.7222048361810192E-3</v>
      </c>
      <c r="C183" s="4">
        <f>IFERROR(Merged_data[[#This Row],[AAPL_Close]]/Merged_data!B182-1,"")</f>
        <v>5.5232834968097499E-3</v>
      </c>
      <c r="D183" s="4">
        <f t="shared" si="16"/>
        <v>-4.4765306763314356E-3</v>
      </c>
      <c r="E183">
        <f t="shared" ca="1" si="17"/>
        <v>0.66039472703224444</v>
      </c>
      <c r="F183">
        <f t="shared" ca="1" si="17"/>
        <v>-0.11765266800198228</v>
      </c>
      <c r="G183">
        <f t="shared" ca="1" si="17"/>
        <v>-1.0447123932495503</v>
      </c>
      <c r="H183">
        <f ca="1"/>
        <v>0.66039472703224444</v>
      </c>
      <c r="I183">
        <f ca="1"/>
        <v>-8.281736539078205E-2</v>
      </c>
      <c r="J183">
        <f ca="1"/>
        <v>-0.82663468502628557</v>
      </c>
      <c r="K183">
        <v>181</v>
      </c>
      <c r="L183">
        <f t="shared" ca="1" si="18"/>
        <v>111967.32353947764</v>
      </c>
      <c r="M183">
        <f t="shared" ca="1" si="19"/>
        <v>4116.4615484488086</v>
      </c>
      <c r="N183">
        <f t="shared" ca="1" si="20"/>
        <v>256.84639185409873</v>
      </c>
      <c r="O183" s="4">
        <f t="shared" ca="1" si="21"/>
        <v>1.0699724119769733E-2</v>
      </c>
      <c r="P183" s="4">
        <f t="shared" ca="1" si="22"/>
        <v>-1.3777583554923036E-2</v>
      </c>
      <c r="Q183" s="4">
        <f t="shared" ca="1" si="23"/>
        <v>-8.3603529953306267E-3</v>
      </c>
      <c r="R183" s="4" cm="1">
        <f t="array" aca="1" ref="R183" ca="1">_xlfn._xlws.SORT(SUMPRODUCT($U$2:$W$2,O183:Q183))</f>
        <v>-4.8092220846374829E-3</v>
      </c>
      <c r="S183" s="4">
        <f ca="1"/>
        <v>1.0441786286954047E-2</v>
      </c>
    </row>
    <row r="184" spans="1:19" x14ac:dyDescent="0.25">
      <c r="A184" s="4">
        <f>IFERROR(Merged_data[[#This Row],[BTCUSD_Close]]/Merged_data!D183-1,"")</f>
        <v>-1.3879782351388092E-3</v>
      </c>
      <c r="B184" s="4">
        <f>IFERROR(Merged_data[[#This Row],[XAUUSD_Close]]/Merged_data!C183-1, "")</f>
        <v>1.4586528367422913E-2</v>
      </c>
      <c r="C184" s="4">
        <f>IFERROR(Merged_data[[#This Row],[AAPL_Close]]/Merged_data!B183-1,"")</f>
        <v>6.155885974050479E-3</v>
      </c>
      <c r="D184" s="4">
        <f t="shared" si="16"/>
        <v>7.2649836686426656E-3</v>
      </c>
      <c r="E184">
        <f t="shared" ca="1" si="17"/>
        <v>1.2597841546711599</v>
      </c>
      <c r="F184">
        <f t="shared" ca="1" si="17"/>
        <v>1.6702553046995714</v>
      </c>
      <c r="G184">
        <f t="shared" ca="1" si="17"/>
        <v>-0.11706140212495979</v>
      </c>
      <c r="H184">
        <f ca="1"/>
        <v>1.2597841546711599</v>
      </c>
      <c r="I184">
        <f ca="1"/>
        <v>1.7340946560819148</v>
      </c>
      <c r="J184">
        <f ca="1"/>
        <v>0.22235404777041276</v>
      </c>
      <c r="K184">
        <v>182</v>
      </c>
      <c r="L184">
        <f t="shared" ca="1" si="18"/>
        <v>113801.38526857363</v>
      </c>
      <c r="M184">
        <f t="shared" ca="1" si="19"/>
        <v>4208.7112789452185</v>
      </c>
      <c r="N184">
        <f t="shared" ca="1" si="20"/>
        <v>262.4594416695839</v>
      </c>
      <c r="O184" s="4">
        <f t="shared" ca="1" si="21"/>
        <v>1.6247619837931354E-2</v>
      </c>
      <c r="P184" s="4">
        <f t="shared" ca="1" si="22"/>
        <v>2.2162544442242502E-2</v>
      </c>
      <c r="Q184" s="4">
        <f t="shared" ca="1" si="23"/>
        <v>2.1618353031345763E-2</v>
      </c>
      <c r="R184" s="4" cm="1">
        <f t="array" aca="1" ref="R184" ca="1">_xlfn._xlws.SORT(SUMPRODUCT($U$2:$W$2,O184:Q184))</f>
        <v>2.0224809637680134E-2</v>
      </c>
      <c r="S184" s="4">
        <f ca="1"/>
        <v>1.0540550604892757E-2</v>
      </c>
    </row>
    <row r="185" spans="1:19" x14ac:dyDescent="0.25">
      <c r="A185" s="4">
        <f>IFERROR(Merged_data[[#This Row],[BTCUSD_Close]]/Merged_data!D184-1,"")</f>
        <v>1.8426931800740176E-2</v>
      </c>
      <c r="B185" s="4">
        <f>IFERROR(Merged_data[[#This Row],[XAUUSD_Close]]/Merged_data!C184-1, "")</f>
        <v>1.0187996650118381E-2</v>
      </c>
      <c r="C185" s="4">
        <f>IFERROR(Merged_data[[#This Row],[AAPL_Close]]/Merged_data!B184-1,"")</f>
        <v>9.0361445783133654E-3</v>
      </c>
      <c r="D185" s="4">
        <f t="shared" si="16"/>
        <v>1.2314121573763414E-2</v>
      </c>
      <c r="E185">
        <f t="shared" ca="1" si="17"/>
        <v>0.13517300419468636</v>
      </c>
      <c r="F185">
        <f t="shared" ca="1" si="17"/>
        <v>-2.4717429533144646</v>
      </c>
      <c r="G185">
        <f t="shared" ca="1" si="17"/>
        <v>-0.78615622549667286</v>
      </c>
      <c r="H185">
        <f ca="1"/>
        <v>0.13517300419468636</v>
      </c>
      <c r="I185">
        <f ca="1"/>
        <v>-2.461236723671111</v>
      </c>
      <c r="J185">
        <f ca="1"/>
        <v>-0.71162946969431085</v>
      </c>
      <c r="K185">
        <v>183</v>
      </c>
      <c r="L185">
        <f t="shared" ca="1" si="18"/>
        <v>110384.05239798933</v>
      </c>
      <c r="M185">
        <f t="shared" ca="1" si="19"/>
        <v>3998.7475241261109</v>
      </c>
      <c r="N185">
        <f t="shared" ca="1" si="20"/>
        <v>257.45545407326171</v>
      </c>
      <c r="O185" s="4">
        <f t="shared" ca="1" si="21"/>
        <v>-3.0489023960804218E-2</v>
      </c>
      <c r="P185" s="4">
        <f t="shared" ca="1" si="22"/>
        <v>-5.1175298199570833E-2</v>
      </c>
      <c r="Q185" s="4">
        <f t="shared" ca="1" si="23"/>
        <v>-1.9249850920328573E-2</v>
      </c>
      <c r="R185" s="4" cm="1">
        <f t="array" aca="1" ref="R185" ca="1">_xlfn._xlws.SORT(SUMPRODUCT($U$2:$W$2,O185:Q185))</f>
        <v>-3.5391781744168176E-2</v>
      </c>
      <c r="S185" s="4">
        <f ca="1"/>
        <v>1.0550447353822328E-2</v>
      </c>
    </row>
    <row r="186" spans="1:19" x14ac:dyDescent="0.25">
      <c r="A186" s="4">
        <f>IFERROR(Merged_data[[#This Row],[BTCUSD_Close]]/Merged_data!D185-1,"")</f>
        <v>-1.1010172897391923E-2</v>
      </c>
      <c r="B186" s="4">
        <f>IFERROR(Merged_data[[#This Row],[XAUUSD_Close]]/Merged_data!C185-1, "")</f>
        <v>-1.2961335996701351E-2</v>
      </c>
      <c r="C186" s="4">
        <f>IFERROR(Merged_data[[#This Row],[AAPL_Close]]/Merged_data!B185-1,"")</f>
        <v>-1.1660447761193682E-3</v>
      </c>
      <c r="D186" s="4">
        <f t="shared" si="16"/>
        <v>-8.8373997007339285E-3</v>
      </c>
      <c r="E186">
        <f t="shared" ca="1" si="17"/>
        <v>-0.3373258962118123</v>
      </c>
      <c r="F186">
        <f t="shared" ca="1" si="17"/>
        <v>1.0684806982743607</v>
      </c>
      <c r="G186">
        <f t="shared" ca="1" si="17"/>
        <v>0.99892259977791187</v>
      </c>
      <c r="H186">
        <f ca="1"/>
        <v>-0.3373258962118123</v>
      </c>
      <c r="I186">
        <f ca="1"/>
        <v>1.0492961987408223</v>
      </c>
      <c r="J186">
        <f ca="1"/>
        <v>0.86665325105637259</v>
      </c>
      <c r="K186">
        <v>184</v>
      </c>
      <c r="L186">
        <f t="shared" ca="1" si="18"/>
        <v>108978.980794263</v>
      </c>
      <c r="M186">
        <f t="shared" ca="1" si="19"/>
        <v>4173.6988853011562</v>
      </c>
      <c r="N186">
        <f t="shared" ca="1" si="20"/>
        <v>265.96735758044423</v>
      </c>
      <c r="O186" s="4">
        <f t="shared" ca="1" si="21"/>
        <v>-1.2810643608037875E-2</v>
      </c>
      <c r="P186" s="4">
        <f t="shared" ca="1" si="22"/>
        <v>4.2821472372978633E-2</v>
      </c>
      <c r="Q186" s="4">
        <f t="shared" ca="1" si="23"/>
        <v>3.2526874140123778E-2</v>
      </c>
      <c r="R186" s="4" cm="1">
        <f t="array" aca="1" ref="R186" ca="1">_xlfn._xlws.SORT(SUMPRODUCT($U$2:$W$2,O186:Q186))</f>
        <v>2.3043458108817225E-2</v>
      </c>
      <c r="S186" s="4">
        <f ca="1"/>
        <v>1.0784467711389951E-2</v>
      </c>
    </row>
    <row r="187" spans="1:19" x14ac:dyDescent="0.25">
      <c r="A187" s="4">
        <f>IFERROR(Merged_data[[#This Row],[BTCUSD_Close]]/Merged_data!D186-1,"")</f>
        <v>4.0467321368100606E-3</v>
      </c>
      <c r="B187" s="4">
        <f>IFERROR(Merged_data[[#This Row],[XAUUSD_Close]]/Merged_data!C186-1, "")</f>
        <v>-5.5029647813206184E-3</v>
      </c>
      <c r="C187" s="4">
        <f>IFERROR(Merged_data[[#This Row],[AAPL_Close]]/Merged_data!B186-1,"")</f>
        <v>-1.8211533971516092E-3</v>
      </c>
      <c r="D187" s="4">
        <f t="shared" si="16"/>
        <v>-1.5335122906307121E-3</v>
      </c>
      <c r="E187">
        <f t="shared" ca="1" si="17"/>
        <v>0.11280654294278605</v>
      </c>
      <c r="F187">
        <f t="shared" ca="1" si="17"/>
        <v>1.5755536932900285</v>
      </c>
      <c r="G187">
        <f t="shared" ca="1" si="17"/>
        <v>-1.2619498055518188</v>
      </c>
      <c r="H187">
        <f ca="1"/>
        <v>0.11280654294278605</v>
      </c>
      <c r="I187">
        <f ca="1"/>
        <v>1.5793033332830877</v>
      </c>
      <c r="J187">
        <f ca="1"/>
        <v>-1.1898394887561448</v>
      </c>
      <c r="K187">
        <v>185</v>
      </c>
      <c r="L187">
        <f t="shared" ca="1" si="18"/>
        <v>110316.81663909066</v>
      </c>
      <c r="M187">
        <f t="shared" ca="1" si="19"/>
        <v>4200.7683019968163</v>
      </c>
      <c r="N187">
        <f t="shared" ca="1" si="20"/>
        <v>254.93007781089764</v>
      </c>
      <c r="O187" s="4">
        <f t="shared" ca="1" si="21"/>
        <v>1.2201350484072674E-2</v>
      </c>
      <c r="P187" s="4">
        <f t="shared" ca="1" si="22"/>
        <v>6.4647721142884491E-3</v>
      </c>
      <c r="Q187" s="4">
        <f t="shared" ca="1" si="23"/>
        <v>-4.2384282494192634E-2</v>
      </c>
      <c r="R187" s="4" cm="1">
        <f t="array" aca="1" ref="R187" ca="1">_xlfn._xlws.SORT(SUMPRODUCT($U$2:$W$2,O187:Q187))</f>
        <v>-6.4689707573206082E-3</v>
      </c>
      <c r="S187" s="4">
        <f ca="1"/>
        <v>1.0859709200990674E-2</v>
      </c>
    </row>
    <row r="188" spans="1:19" x14ac:dyDescent="0.25">
      <c r="A188" s="4">
        <f>IFERROR(Merged_data[[#This Row],[BTCUSD_Close]]/Merged_data!D187-1,"")</f>
        <v>-1.5514595524376507E-2</v>
      </c>
      <c r="B188" s="4">
        <f>IFERROR(Merged_data[[#This Row],[XAUUSD_Close]]/Merged_data!C187-1, "")</f>
        <v>-9.2292849456381276E-3</v>
      </c>
      <c r="C188" s="4">
        <f>IFERROR(Merged_data[[#This Row],[AAPL_Close]]/Merged_data!B187-1,"")</f>
        <v>5.6137724550908707E-4</v>
      </c>
      <c r="D188" s="4">
        <f t="shared" si="16"/>
        <v>-8.1776794619154766E-3</v>
      </c>
      <c r="E188">
        <f t="shared" ca="1" si="17"/>
        <v>-7.0103568930058008E-2</v>
      </c>
      <c r="F188">
        <f t="shared" ca="1" si="17"/>
        <v>8.0717876127521265E-2</v>
      </c>
      <c r="G188">
        <f t="shared" ca="1" si="17"/>
        <v>1.1495112523219553</v>
      </c>
      <c r="H188">
        <f ca="1"/>
        <v>-7.0103568930058008E-2</v>
      </c>
      <c r="I188">
        <f ca="1"/>
        <v>7.6925863082720272E-2</v>
      </c>
      <c r="J188">
        <f ca="1"/>
        <v>1.0873738748846977</v>
      </c>
      <c r="K188">
        <v>186</v>
      </c>
      <c r="L188">
        <f t="shared" ca="1" si="18"/>
        <v>109770.99321974491</v>
      </c>
      <c r="M188">
        <f t="shared" ca="1" si="19"/>
        <v>4124.4843837368289</v>
      </c>
      <c r="N188">
        <f t="shared" ca="1" si="20"/>
        <v>267.17953189360441</v>
      </c>
      <c r="O188" s="4">
        <f t="shared" ca="1" si="21"/>
        <v>-4.960061520298824E-3</v>
      </c>
      <c r="P188" s="4">
        <f t="shared" ca="1" si="22"/>
        <v>-1.8326423514928615E-2</v>
      </c>
      <c r="Q188" s="4">
        <f t="shared" ca="1" si="23"/>
        <v>4.6931533639491214E-2</v>
      </c>
      <c r="R188" s="4" cm="1">
        <f t="array" aca="1" ref="R188" ca="1">_xlfn._xlws.SORT(SUMPRODUCT($U$2:$W$2,O188:Q188))</f>
        <v>5.2608722297862696E-3</v>
      </c>
      <c r="S188" s="4">
        <f ca="1"/>
        <v>1.0900234066172357E-2</v>
      </c>
    </row>
    <row r="189" spans="1:19" x14ac:dyDescent="0.25">
      <c r="A189" s="4">
        <f>IFERROR(Merged_data[[#This Row],[BTCUSD_Close]]/Merged_data!D188-1,"")</f>
        <v>1.1648024118261713E-2</v>
      </c>
      <c r="B189" s="4">
        <f>IFERROR(Merged_data[[#This Row],[XAUUSD_Close]]/Merged_data!C188-1, "")</f>
        <v>-6.8643474899888757E-3</v>
      </c>
      <c r="C189" s="4">
        <f>IFERROR(Merged_data[[#This Row],[AAPL_Close]]/Merged_data!B188-1,"")</f>
        <v>7.9483822704329299E-4</v>
      </c>
      <c r="D189" s="4">
        <f t="shared" si="16"/>
        <v>9.8711970759595086E-4</v>
      </c>
      <c r="E189">
        <f t="shared" ca="1" si="17"/>
        <v>0.35861825302605993</v>
      </c>
      <c r="F189">
        <f t="shared" ca="1" si="17"/>
        <v>1.1729527056005007</v>
      </c>
      <c r="G189">
        <f t="shared" ca="1" si="17"/>
        <v>-1.3615574240425845</v>
      </c>
      <c r="H189">
        <f ca="1"/>
        <v>0.35861825302605993</v>
      </c>
      <c r="I189">
        <f ca="1"/>
        <v>1.1901636099028772</v>
      </c>
      <c r="J189">
        <f ca="1"/>
        <v>-1.2178147437778497</v>
      </c>
      <c r="K189">
        <v>187</v>
      </c>
      <c r="L189">
        <f t="shared" ca="1" si="18"/>
        <v>111054.07413561494</v>
      </c>
      <c r="M189">
        <f t="shared" ca="1" si="19"/>
        <v>4180.8730212548244</v>
      </c>
      <c r="N189">
        <f t="shared" ca="1" si="20"/>
        <v>254.78270359084007</v>
      </c>
      <c r="O189" s="4">
        <f t="shared" ca="1" si="21"/>
        <v>1.1620921218433857E-2</v>
      </c>
      <c r="P189" s="4">
        <f t="shared" ca="1" si="22"/>
        <v>1.3579067396878676E-2</v>
      </c>
      <c r="Q189" s="4">
        <f t="shared" ca="1" si="23"/>
        <v>-4.7509797436443547E-2</v>
      </c>
      <c r="R189" s="4" cm="1">
        <f t="array" aca="1" ref="R189" ca="1">_xlfn._xlws.SORT(SUMPRODUCT($U$2:$W$2,O189:Q189))</f>
        <v>-5.3350359066514363E-3</v>
      </c>
      <c r="S189" s="4">
        <f ca="1"/>
        <v>1.0922528266583117E-2</v>
      </c>
    </row>
    <row r="190" spans="1:19" x14ac:dyDescent="0.25">
      <c r="A190" s="4">
        <f>IFERROR(Merged_data[[#This Row],[BTCUSD_Close]]/Merged_data!D189-1,"")</f>
        <v>-4.402377283733161E-3</v>
      </c>
      <c r="B190" s="4">
        <f>IFERROR(Merged_data[[#This Row],[XAUUSD_Close]]/Merged_data!C189-1, "")</f>
        <v>3.6173021080816437E-3</v>
      </c>
      <c r="C190" s="4">
        <f>IFERROR(Merged_data[[#This Row],[AAPL_Close]]/Merged_data!B189-1,"")</f>
        <v>-1.2987619715019827E-2</v>
      </c>
      <c r="D190" s="4">
        <f t="shared" si="16"/>
        <v>-3.7700782563932387E-3</v>
      </c>
      <c r="E190">
        <f t="shared" ca="1" si="17"/>
        <v>-0.78959720445777914</v>
      </c>
      <c r="F190">
        <f t="shared" ca="1" si="17"/>
        <v>2.4206650701214594</v>
      </c>
      <c r="G190">
        <f t="shared" ca="1" si="17"/>
        <v>-0.71396150960904203</v>
      </c>
      <c r="H190">
        <f ca="1"/>
        <v>-0.78959720445777914</v>
      </c>
      <c r="I190">
        <f ca="1"/>
        <v>2.3758697345846316</v>
      </c>
      <c r="J190">
        <f ca="1"/>
        <v>-0.90941677770761742</v>
      </c>
      <c r="K190">
        <v>188</v>
      </c>
      <c r="L190">
        <f t="shared" ca="1" si="18"/>
        <v>107650.33268057668</v>
      </c>
      <c r="M190">
        <f t="shared" ca="1" si="19"/>
        <v>4241.7805585932483</v>
      </c>
      <c r="N190">
        <f t="shared" ca="1" si="20"/>
        <v>256.40702811642745</v>
      </c>
      <c r="O190" s="4">
        <f t="shared" ca="1" si="21"/>
        <v>-3.1128922869611601E-2</v>
      </c>
      <c r="P190" s="4">
        <f t="shared" ca="1" si="22"/>
        <v>1.446304266824561E-2</v>
      </c>
      <c r="Q190" s="4">
        <f t="shared" ca="1" si="23"/>
        <v>6.3550963239894119E-3</v>
      </c>
      <c r="R190" s="4" cm="1">
        <f t="array" aca="1" ref="R190" ca="1">_xlfn._xlws.SORT(SUMPRODUCT($U$2:$W$2,O190:Q190))</f>
        <v>-1.6469308963884114E-3</v>
      </c>
      <c r="S190" s="4">
        <f ca="1"/>
        <v>1.1107799672810057E-2</v>
      </c>
    </row>
    <row r="191" spans="1:19" x14ac:dyDescent="0.25">
      <c r="A191" s="4">
        <f>IFERROR(Merged_data[[#This Row],[BTCUSD_Close]]/Merged_data!D190-1,"")</f>
        <v>-2.4065035119644751E-3</v>
      </c>
      <c r="B191" s="4">
        <f>IFERROR(Merged_data[[#This Row],[XAUUSD_Close]]/Merged_data!C190-1, "")</f>
        <v>-1.5359456985554298E-2</v>
      </c>
      <c r="C191" s="4">
        <f>IFERROR(Merged_data[[#This Row],[AAPL_Close]]/Merged_data!B190-1,"")</f>
        <v>-1.0507880910682998E-2</v>
      </c>
      <c r="D191" s="4">
        <f t="shared" si="16"/>
        <v>-1.0018098121015962E-2</v>
      </c>
      <c r="E191">
        <f t="shared" ca="1" si="17"/>
        <v>-0.48544018840212139</v>
      </c>
      <c r="F191">
        <f t="shared" ca="1" si="17"/>
        <v>1.3037017557092747</v>
      </c>
      <c r="G191">
        <f t="shared" ca="1" si="17"/>
        <v>1.494163704856114</v>
      </c>
      <c r="H191">
        <f ca="1"/>
        <v>-0.48544018840212139</v>
      </c>
      <c r="I191">
        <f ca="1"/>
        <v>1.2764163077916737</v>
      </c>
      <c r="J191">
        <f ca="1"/>
        <v>1.3025201061357419</v>
      </c>
      <c r="K191">
        <v>189</v>
      </c>
      <c r="L191">
        <f t="shared" ca="1" si="18"/>
        <v>108541.47485186071</v>
      </c>
      <c r="M191">
        <f t="shared" ca="1" si="19"/>
        <v>4185.2716049848168</v>
      </c>
      <c r="N191">
        <f t="shared" ca="1" si="20"/>
        <v>268.36616865667423</v>
      </c>
      <c r="O191" s="4">
        <f t="shared" ca="1" si="21"/>
        <v>8.2440424417499457E-3</v>
      </c>
      <c r="P191" s="4">
        <f t="shared" ca="1" si="22"/>
        <v>-1.3411522683403929E-2</v>
      </c>
      <c r="Q191" s="4">
        <f t="shared" ca="1" si="23"/>
        <v>4.5586213507421799E-2</v>
      </c>
      <c r="R191" s="4" cm="1">
        <f t="array" aca="1" ref="R191" ca="1">_xlfn._xlws.SORT(SUMPRODUCT($U$2:$W$2,O191:Q191))</f>
        <v>1.0784467711389951E-2</v>
      </c>
      <c r="S191" s="4">
        <f ca="1"/>
        <v>1.1346217525490018E-2</v>
      </c>
    </row>
    <row r="192" spans="1:19" x14ac:dyDescent="0.25">
      <c r="A192" s="4">
        <f>IFERROR(Merged_data[[#This Row],[BTCUSD_Close]]/Merged_data!D191-1,"")</f>
        <v>-6.5635255508673662E-3</v>
      </c>
      <c r="B192" s="4">
        <f>IFERROR(Merged_data[[#This Row],[XAUUSD_Close]]/Merged_data!C191-1, "")</f>
        <v>4.416092711996944E-3</v>
      </c>
      <c r="C192" s="4">
        <f>IFERROR(Merged_data[[#This Row],[AAPL_Close]]/Merged_data!B191-1,"")</f>
        <v>-7.0796460176991705E-3</v>
      </c>
      <c r="D192" s="4">
        <f t="shared" si="16"/>
        <v>-2.3265143857711832E-3</v>
      </c>
      <c r="E192">
        <f t="shared" ca="1" si="17"/>
        <v>-0.33216029943422781</v>
      </c>
      <c r="F192">
        <f t="shared" ca="1" si="17"/>
        <v>0.48121707044254514</v>
      </c>
      <c r="G192">
        <f t="shared" ca="1" si="17"/>
        <v>0.27409898193165638</v>
      </c>
      <c r="H192">
        <f ca="1"/>
        <v>-0.33216029943422781</v>
      </c>
      <c r="I192">
        <f ca="1"/>
        <v>0.46311377171250745</v>
      </c>
      <c r="J192">
        <f ca="1"/>
        <v>0.17231804791833383</v>
      </c>
      <c r="K192">
        <v>190</v>
      </c>
      <c r="L192">
        <f t="shared" ca="1" si="18"/>
        <v>108993.27779473954</v>
      </c>
      <c r="M192">
        <f t="shared" ca="1" si="19"/>
        <v>4143.9546900938394</v>
      </c>
      <c r="N192">
        <f t="shared" ca="1" si="20"/>
        <v>262.18713863751361</v>
      </c>
      <c r="O192" s="4">
        <f t="shared" ca="1" si="21"/>
        <v>4.1538520812654045E-3</v>
      </c>
      <c r="P192" s="4">
        <f t="shared" ca="1" si="22"/>
        <v>-9.9210304337546806E-3</v>
      </c>
      <c r="Q192" s="4">
        <f t="shared" ca="1" si="23"/>
        <v>-2.3293830527971925E-2</v>
      </c>
      <c r="R192" s="4" cm="1">
        <f t="array" aca="1" ref="R192" ca="1">_xlfn._xlws.SORT(SUMPRODUCT($U$2:$W$2,O192:Q192))</f>
        <v>-9.7104057075138289E-3</v>
      </c>
      <c r="S192" s="4">
        <f ca="1"/>
        <v>1.1463783467113898E-2</v>
      </c>
    </row>
    <row r="193" spans="1:19" x14ac:dyDescent="0.25">
      <c r="A193" s="4">
        <f>IFERROR(Merged_data[[#This Row],[BTCUSD_Close]]/Merged_data!D192-1,"")</f>
        <v>-2.7929126088635292E-2</v>
      </c>
      <c r="B193" s="4">
        <f>IFERROR(Merged_data[[#This Row],[XAUUSD_Close]]/Merged_data!C192-1, "")</f>
        <v>2.039826929302091E-2</v>
      </c>
      <c r="C193" s="4">
        <f>IFERROR(Merged_data[[#This Row],[AAPL_Close]]/Merged_data!B192-1,"")</f>
        <v>-2.5003613238907318E-2</v>
      </c>
      <c r="D193" s="4">
        <f t="shared" si="16"/>
        <v>-7.720514081054417E-3</v>
      </c>
      <c r="E193">
        <f t="shared" ca="1" si="17"/>
        <v>-0.84330327608608502</v>
      </c>
      <c r="F193">
        <f t="shared" ca="1" si="17"/>
        <v>-0.57320974775919253</v>
      </c>
      <c r="G193">
        <f t="shared" ca="1" si="17"/>
        <v>-9.5345912822214426E-2</v>
      </c>
      <c r="H193">
        <f ca="1"/>
        <v>-0.84330327608608502</v>
      </c>
      <c r="I193">
        <f ca="1"/>
        <v>-0.6166955093042551</v>
      </c>
      <c r="J193">
        <f ca="1"/>
        <v>-0.31797112272932315</v>
      </c>
      <c r="K193">
        <v>191</v>
      </c>
      <c r="L193">
        <f t="shared" ca="1" si="18"/>
        <v>107493.23838936581</v>
      </c>
      <c r="M193">
        <f t="shared" ca="1" si="19"/>
        <v>4089.7288387898107</v>
      </c>
      <c r="N193">
        <f t="shared" ca="1" si="20"/>
        <v>259.55094854862961</v>
      </c>
      <c r="O193" s="4">
        <f t="shared" ca="1" si="21"/>
        <v>-1.3858261833540553E-2</v>
      </c>
      <c r="P193" s="4">
        <f t="shared" ca="1" si="22"/>
        <v>-1.3171901767278929E-2</v>
      </c>
      <c r="Q193" s="4">
        <f t="shared" ca="1" si="23"/>
        <v>-1.0105501545023717E-2</v>
      </c>
      <c r="R193" s="4" cm="1">
        <f t="array" aca="1" ref="R193" ca="1">_xlfn._xlws.SORT(SUMPRODUCT($U$2:$W$2,O193:Q193))</f>
        <v>-1.2457889720480852E-2</v>
      </c>
      <c r="S193" s="4">
        <f ca="1"/>
        <v>1.1672224914667703E-2</v>
      </c>
    </row>
    <row r="194" spans="1:19" x14ac:dyDescent="0.25">
      <c r="A194" s="4">
        <f>IFERROR(Merged_data[[#This Row],[BTCUSD_Close]]/Merged_data!D193-1,"")</f>
        <v>1.6020831494394816E-2</v>
      </c>
      <c r="B194" s="4">
        <f>IFERROR(Merged_data[[#This Row],[XAUUSD_Close]]/Merged_data!C193-1, "")</f>
        <v>4.9477301059397405E-3</v>
      </c>
      <c r="C194" s="4">
        <f>IFERROR(Merged_data[[#This Row],[AAPL_Close]]/Merged_data!B193-1,"")</f>
        <v>4.792963731593991E-3</v>
      </c>
      <c r="D194" s="4">
        <f t="shared" si="16"/>
        <v>8.2232306101725373E-3</v>
      </c>
      <c r="E194">
        <f t="shared" ca="1" si="17"/>
        <v>0.28382646214511759</v>
      </c>
      <c r="F194">
        <f t="shared" ca="1" si="17"/>
        <v>-8.1593520109706108E-2</v>
      </c>
      <c r="G194">
        <f t="shared" ca="1" si="17"/>
        <v>-0.56619686652681755</v>
      </c>
      <c r="H194">
        <f ca="1"/>
        <v>0.28382646214511759</v>
      </c>
      <c r="I194">
        <f ca="1"/>
        <v>-6.6579101180430034E-2</v>
      </c>
      <c r="J194">
        <f ca="1"/>
        <v>-0.46799002853955984</v>
      </c>
      <c r="K194">
        <v>192</v>
      </c>
      <c r="L194">
        <f t="shared" ca="1" si="18"/>
        <v>110828.31550850809</v>
      </c>
      <c r="M194">
        <f t="shared" ca="1" si="19"/>
        <v>4117.2634683626738</v>
      </c>
      <c r="N194">
        <f t="shared" ca="1" si="20"/>
        <v>258.74948103205139</v>
      </c>
      <c r="O194" s="4">
        <f t="shared" ca="1" si="21"/>
        <v>3.055434990953549E-2</v>
      </c>
      <c r="P194" s="4">
        <f t="shared" ca="1" si="22"/>
        <v>6.7100666978820514E-3</v>
      </c>
      <c r="Q194" s="4">
        <f t="shared" ca="1" si="23"/>
        <v>-3.092677951434497E-3</v>
      </c>
      <c r="R194" s="4" cm="1">
        <f t="array" aca="1" ref="R194" ca="1">_xlfn._xlws.SORT(SUMPRODUCT($U$2:$W$2,O194:Q194))</f>
        <v>1.0922528266583117E-2</v>
      </c>
      <c r="S194" s="4">
        <f ca="1"/>
        <v>1.199595639681619E-2</v>
      </c>
    </row>
    <row r="195" spans="1:19" x14ac:dyDescent="0.25">
      <c r="A195" s="4">
        <f>IFERROR(Merged_data[[#This Row],[BTCUSD_Close]]/Merged_data!D194-1,"")</f>
        <v>-1.3022892141957398E-2</v>
      </c>
      <c r="B195" s="4">
        <f>IFERROR(Merged_data[[#This Row],[XAUUSD_Close]]/Merged_data!C194-1, "")</f>
        <v>2.1311881151435674E-3</v>
      </c>
      <c r="C195" s="4">
        <f>IFERROR(Merged_data[[#This Row],[AAPL_Close]]/Merged_data!B194-1,"")</f>
        <v>-2.1145807720679421E-3</v>
      </c>
      <c r="D195" s="4">
        <f t="shared" si="16"/>
        <v>-3.6887666281501747E-3</v>
      </c>
      <c r="E195">
        <f t="shared" ca="1" si="17"/>
        <v>-0.5455359280201898</v>
      </c>
      <c r="F195">
        <f t="shared" ca="1" si="17"/>
        <v>1.6998225928776967</v>
      </c>
      <c r="G195">
        <f t="shared" ca="1" si="17"/>
        <v>7.2274263668439184E-2</v>
      </c>
      <c r="H195">
        <f ca="1"/>
        <v>-0.5455359280201898</v>
      </c>
      <c r="I195">
        <f ca="1"/>
        <v>1.6688355553687479</v>
      </c>
      <c r="J195">
        <f ca="1"/>
        <v>-8.3962308330827434E-2</v>
      </c>
      <c r="K195">
        <v>193</v>
      </c>
      <c r="L195">
        <f t="shared" ca="1" si="18"/>
        <v>108364.14769040144</v>
      </c>
      <c r="M195">
        <f t="shared" ca="1" si="19"/>
        <v>4205.3485054341409</v>
      </c>
      <c r="N195">
        <f t="shared" ca="1" si="20"/>
        <v>260.80529477168767</v>
      </c>
      <c r="O195" s="4">
        <f t="shared" ca="1" si="21"/>
        <v>-2.2485003360204404E-2</v>
      </c>
      <c r="P195" s="4">
        <f t="shared" ca="1" si="22"/>
        <v>2.1168432839364475E-2</v>
      </c>
      <c r="Q195" s="4">
        <f t="shared" ca="1" si="23"/>
        <v>7.9137929807579655E-3</v>
      </c>
      <c r="R195" s="4" cm="1">
        <f t="array" aca="1" ref="R195" ca="1">_xlfn._xlws.SORT(SUMPRODUCT($U$2:$W$2,O195:Q195))</f>
        <v>4.0960100219118584E-3</v>
      </c>
      <c r="S195" s="4">
        <f ca="1"/>
        <v>1.2145303423582941E-2</v>
      </c>
    </row>
    <row r="196" spans="1:19" x14ac:dyDescent="0.25">
      <c r="A196" s="4">
        <f>IFERROR(Merged_data[[#This Row],[BTCUSD_Close]]/Merged_data!D195-1,"")</f>
        <v>1.3001073886942605E-2</v>
      </c>
      <c r="B196" s="4">
        <f>IFERROR(Merged_data[[#This Row],[XAUUSD_Close]]/Merged_data!C195-1, "")</f>
        <v>-3.410339569847709E-3</v>
      </c>
      <c r="C196" s="4">
        <f>IFERROR(Merged_data[[#This Row],[AAPL_Close]]/Merged_data!B195-1,"")</f>
        <v>5.0906761285235635E-2</v>
      </c>
      <c r="D196" s="4">
        <f t="shared" ref="D196:D251" si="24">SUMPRODUCT(A196:C196,$U$2:$W$2)</f>
        <v>1.7808214723714386E-2</v>
      </c>
      <c r="E196">
        <f t="shared" ref="E196:G251" ca="1" si="25">_xlfn.NORM.S.INV(RAND())</f>
        <v>0.17154477048223499</v>
      </c>
      <c r="F196">
        <f t="shared" ca="1" si="25"/>
        <v>-0.20723853606213072</v>
      </c>
      <c r="G196">
        <f t="shared" ca="1" si="25"/>
        <v>-2.5099650862775098</v>
      </c>
      <c r="H196">
        <f ca="1"/>
        <v>0.17154477048223499</v>
      </c>
      <c r="I196">
        <f ca="1"/>
        <v>-0.19794600091454054</v>
      </c>
      <c r="J196">
        <f ca="1"/>
        <v>-2.3691811537468523</v>
      </c>
      <c r="K196">
        <v>194</v>
      </c>
      <c r="L196">
        <f t="shared" ref="L196:L251" ca="1" si="26">$U$18*EXP(($U$16-(($U$17)^2/2))*K196/249+$U$17*H196)</f>
        <v>110491.1530160423</v>
      </c>
      <c r="M196">
        <f t="shared" ref="M196:M251" ca="1" si="27">$V$18*EXP(($V$16-(($V$17)^2/2))*K196/249+$V$17*I196)</f>
        <v>4110.6686921373475</v>
      </c>
      <c r="N196">
        <f t="shared" ref="N196:N251" ca="1" si="28">$W$18*EXP(($W$16-(($W$17)^2/2))*K196/249+$W$17*J196)</f>
        <v>248.80660373939014</v>
      </c>
      <c r="O196" s="4">
        <f t="shared" ca="1" si="21"/>
        <v>1.9438161114072879E-2</v>
      </c>
      <c r="P196" s="4">
        <f t="shared" ca="1" si="22"/>
        <v>-2.2771454718711261E-2</v>
      </c>
      <c r="Q196" s="4">
        <f t="shared" ca="1" si="23"/>
        <v>-4.7098229011419038E-2</v>
      </c>
      <c r="R196" s="4" cm="1">
        <f t="array" aca="1" ref="R196" ca="1">_xlfn._xlws.SORT(SUMPRODUCT($U$2:$W$2,O196:Q196))</f>
        <v>-1.7406602256688351E-2</v>
      </c>
      <c r="S196" s="4">
        <f ca="1"/>
        <v>1.2530905309588633E-2</v>
      </c>
    </row>
    <row r="197" spans="1:19" x14ac:dyDescent="0.25">
      <c r="A197" s="4">
        <f>IFERROR(Merged_data[[#This Row],[BTCUSD_Close]]/Merged_data!D196-1,"")</f>
        <v>1.7978328684514544E-2</v>
      </c>
      <c r="B197" s="4">
        <f>IFERROR(Merged_data[[#This Row],[XAUUSD_Close]]/Merged_data!C196-1, "")</f>
        <v>8.4333398132883097E-3</v>
      </c>
      <c r="C197" s="4">
        <f>IFERROR(Merged_data[[#This Row],[AAPL_Close]]/Merged_data!B196-1,"")</f>
        <v>3.1793669402110147E-2</v>
      </c>
      <c r="D197" s="4">
        <f t="shared" si="24"/>
        <v>1.8304935351302731E-2</v>
      </c>
      <c r="E197">
        <f t="shared" ca="1" si="25"/>
        <v>2.0025715499463241</v>
      </c>
      <c r="F197">
        <f t="shared" ca="1" si="25"/>
        <v>1.9830942372437073</v>
      </c>
      <c r="G197">
        <f t="shared" ca="1" si="25"/>
        <v>0.25040727748078012</v>
      </c>
      <c r="H197">
        <f ca="1"/>
        <v>2.0025715499463241</v>
      </c>
      <c r="I197">
        <f ca="1"/>
        <v>2.0855010343796803</v>
      </c>
      <c r="J197">
        <f ca="1"/>
        <v>0.7760057320825916</v>
      </c>
      <c r="K197">
        <v>195</v>
      </c>
      <c r="L197">
        <f t="shared" ca="1" si="26"/>
        <v>116113.95041583484</v>
      </c>
      <c r="M197">
        <f t="shared" ca="1" si="27"/>
        <v>4226.7741559960905</v>
      </c>
      <c r="N197">
        <f t="shared" ca="1" si="28"/>
        <v>265.46844886215814</v>
      </c>
      <c r="O197" s="4">
        <f t="shared" ref="O197:O251" ca="1" si="29">LN(L197/L196)</f>
        <v>4.9636585556491017E-2</v>
      </c>
      <c r="P197" s="4">
        <f t="shared" ref="P197:P251" ca="1" si="30">LN(M197/M196)</f>
        <v>2.7853377155961808E-2</v>
      </c>
      <c r="Q197" s="4">
        <f t="shared" ref="Q197:Q251" ca="1" si="31">LN(N197/N196)</f>
        <v>6.482009406931058E-2</v>
      </c>
      <c r="R197" s="4" cm="1">
        <f t="array" aca="1" ref="R197" ca="1">_xlfn._xlws.SORT(SUMPRODUCT($U$2:$W$2,O197:Q197))</f>
        <v>4.5478354750125197E-2</v>
      </c>
      <c r="S197" s="4">
        <f ca="1"/>
        <v>1.2599334897526062E-2</v>
      </c>
    </row>
    <row r="198" spans="1:19" x14ac:dyDescent="0.25">
      <c r="A198" s="4">
        <f>IFERROR(Merged_data[[#This Row],[BTCUSD_Close]]/Merged_data!D197-1,"")</f>
        <v>-5.710529909860651E-3</v>
      </c>
      <c r="B198" s="4">
        <f>IFERROR(Merged_data[[#This Row],[XAUUSD_Close]]/Merged_data!C197-1, "")</f>
        <v>2.1337461518999845E-4</v>
      </c>
      <c r="C198" s="4">
        <f>IFERROR(Merged_data[[#This Row],[AAPL_Close]]/Merged_data!B197-1,"")</f>
        <v>4.235786029177846E-2</v>
      </c>
      <c r="D198" s="4">
        <f t="shared" si="24"/>
        <v>1.1079548960651341E-2</v>
      </c>
      <c r="E198">
        <f t="shared" ca="1" si="25"/>
        <v>0.50255590325566979</v>
      </c>
      <c r="F198">
        <f t="shared" ca="1" si="25"/>
        <v>-0.37810895300153774</v>
      </c>
      <c r="G198">
        <f t="shared" ca="1" si="25"/>
        <v>5.8486171369001194E-2</v>
      </c>
      <c r="H198">
        <f ca="1"/>
        <v>0.50255590325566979</v>
      </c>
      <c r="I198">
        <f ca="1"/>
        <v>-0.35120150295541391</v>
      </c>
      <c r="J198">
        <f ca="1"/>
        <v>0.19360483468546527</v>
      </c>
      <c r="K198">
        <v>196</v>
      </c>
      <c r="L198">
        <f t="shared" ca="1" si="26"/>
        <v>111486.78019419136</v>
      </c>
      <c r="M198">
        <f t="shared" ca="1" si="27"/>
        <v>4102.9888389071612</v>
      </c>
      <c r="N198">
        <f t="shared" ca="1" si="28"/>
        <v>262.30084605319837</v>
      </c>
      <c r="O198" s="4">
        <f t="shared" ca="1" si="29"/>
        <v>-4.0666019515635039E-2</v>
      </c>
      <c r="P198" s="4">
        <f t="shared" ca="1" si="30"/>
        <v>-2.9723398017966987E-2</v>
      </c>
      <c r="Q198" s="4">
        <f t="shared" ca="1" si="31"/>
        <v>-1.2003884558019312E-2</v>
      </c>
      <c r="R198" s="4" cm="1">
        <f t="array" aca="1" ref="R198" ca="1">_xlfn._xlws.SORT(SUMPRODUCT($U$2:$W$2,O198:Q198))</f>
        <v>-2.7690330429283101E-2</v>
      </c>
      <c r="S198" s="4">
        <f ca="1"/>
        <v>1.2727457779070925E-2</v>
      </c>
    </row>
    <row r="199" spans="1:19" x14ac:dyDescent="0.25">
      <c r="A199" s="4">
        <f>IFERROR(Merged_data[[#This Row],[BTCUSD_Close]]/Merged_data!D198-1,"")</f>
        <v>1.9238858889280008E-2</v>
      </c>
      <c r="B199" s="4">
        <f>IFERROR(Merged_data[[#This Row],[XAUUSD_Close]]/Merged_data!C198-1, "")</f>
        <v>-1.6442523992167168E-2</v>
      </c>
      <c r="C199" s="4">
        <f>IFERROR(Merged_data[[#This Row],[AAPL_Close]]/Merged_data!B198-1,"")</f>
        <v>-9.4615216917374179E-3</v>
      </c>
      <c r="D199" s="4">
        <f t="shared" si="24"/>
        <v>-3.6438084376040902E-3</v>
      </c>
      <c r="E199">
        <f t="shared" ca="1" si="25"/>
        <v>0.71334723706475278</v>
      </c>
      <c r="F199">
        <f t="shared" ca="1" si="25"/>
        <v>-0.7631468914171492</v>
      </c>
      <c r="G199">
        <f t="shared" ca="1" si="25"/>
        <v>0.96341885355424284</v>
      </c>
      <c r="H199">
        <f ca="1"/>
        <v>0.71334723706475278</v>
      </c>
      <c r="I199">
        <f ca="1"/>
        <v>-0.72464109309830971</v>
      </c>
      <c r="J199">
        <f ca="1"/>
        <v>1.1231543376657385</v>
      </c>
      <c r="K199">
        <v>197</v>
      </c>
      <c r="L199">
        <f t="shared" ca="1" si="26"/>
        <v>112125.52180929536</v>
      </c>
      <c r="M199">
        <f t="shared" ca="1" si="27"/>
        <v>4084.3399953685735</v>
      </c>
      <c r="N199">
        <f t="shared" ca="1" si="28"/>
        <v>267.37411951774618</v>
      </c>
      <c r="O199" s="4">
        <f t="shared" ca="1" si="29"/>
        <v>5.7129535955069682E-3</v>
      </c>
      <c r="P199" s="4">
        <f t="shared" ca="1" si="30"/>
        <v>-4.5555458117479061E-3</v>
      </c>
      <c r="Q199" s="4">
        <f t="shared" ca="1" si="31"/>
        <v>1.91567619509233E-2</v>
      </c>
      <c r="R199" s="4" cm="1">
        <f t="array" aca="1" ref="R199" ca="1">_xlfn._xlws.SORT(SUMPRODUCT($U$2:$W$2,O199:Q199))</f>
        <v>5.6386963392299171E-3</v>
      </c>
      <c r="S199" s="4">
        <f ca="1"/>
        <v>1.303873671929584E-2</v>
      </c>
    </row>
    <row r="200" spans="1:19" x14ac:dyDescent="0.25">
      <c r="A200" s="4">
        <f>IFERROR(Merged_data[[#This Row],[BTCUSD_Close]]/Merged_data!D199-1,"")</f>
        <v>9.9305953303459038E-3</v>
      </c>
      <c r="B200" s="4">
        <f>IFERROR(Merged_data[[#This Row],[XAUUSD_Close]]/Merged_data!C199-1, "")</f>
        <v>1.6693466960846504E-3</v>
      </c>
      <c r="C200" s="4">
        <f>IFERROR(Merged_data[[#This Row],[AAPL_Close]]/Merged_data!B199-1,"")</f>
        <v>1.0872435953869219E-2</v>
      </c>
      <c r="D200" s="4">
        <f t="shared" si="24"/>
        <v>6.9086480636983971E-3</v>
      </c>
      <c r="E200">
        <f t="shared" ca="1" si="25"/>
        <v>-0.68573392489252183</v>
      </c>
      <c r="F200">
        <f t="shared" ca="1" si="25"/>
        <v>5.610161680071786E-2</v>
      </c>
      <c r="G200">
        <f t="shared" ca="1" si="25"/>
        <v>1.066820737425884</v>
      </c>
      <c r="H200">
        <f ca="1"/>
        <v>-0.68573392489252183</v>
      </c>
      <c r="I200">
        <f ca="1"/>
        <v>2.0020812697603897E-2</v>
      </c>
      <c r="J200">
        <f ca="1"/>
        <v>0.84127656119899574</v>
      </c>
      <c r="K200">
        <v>198</v>
      </c>
      <c r="L200">
        <f t="shared" ca="1" si="26"/>
        <v>107952.27478399104</v>
      </c>
      <c r="M200">
        <f t="shared" ca="1" si="27"/>
        <v>4121.6076608680241</v>
      </c>
      <c r="N200">
        <f t="shared" ca="1" si="28"/>
        <v>265.82511811104052</v>
      </c>
      <c r="O200" s="4">
        <f t="shared" ca="1" si="29"/>
        <v>-3.7929744876359577E-2</v>
      </c>
      <c r="P200" s="4">
        <f t="shared" ca="1" si="30"/>
        <v>9.0831487810257485E-3</v>
      </c>
      <c r="Q200" s="4">
        <f t="shared" ca="1" si="31"/>
        <v>-5.8102324800554149E-3</v>
      </c>
      <c r="R200" s="4" cm="1">
        <f t="array" aca="1" ref="R200" ca="1">_xlfn._xlws.SORT(SUMPRODUCT($U$2:$W$2,O200:Q200))</f>
        <v>-9.4887336945141971E-3</v>
      </c>
      <c r="S200" s="4">
        <f ca="1"/>
        <v>1.3165161352840141E-2</v>
      </c>
    </row>
    <row r="201" spans="1:19" x14ac:dyDescent="0.25">
      <c r="A201" s="4">
        <f>IFERROR(Merged_data[[#This Row],[BTCUSD_Close]]/Merged_data!D200-1,"")</f>
        <v>2.2318040416002827E-2</v>
      </c>
      <c r="B201" s="4">
        <f>IFERROR(Merged_data[[#This Row],[XAUUSD_Close]]/Merged_data!C200-1, "")</f>
        <v>2.326619785825601E-3</v>
      </c>
      <c r="C201" s="4">
        <f>IFERROR(Merged_data[[#This Row],[AAPL_Close]]/Merged_data!B200-1,"")</f>
        <v>1.6024384933594593E-2</v>
      </c>
      <c r="D201" s="4">
        <f t="shared" si="24"/>
        <v>1.2433375519209467E-2</v>
      </c>
      <c r="E201">
        <f t="shared" ca="1" si="25"/>
        <v>0.72531907147039887</v>
      </c>
      <c r="F201">
        <f t="shared" ca="1" si="25"/>
        <v>-0.2944103511409501</v>
      </c>
      <c r="G201">
        <f t="shared" ca="1" si="25"/>
        <v>-0.64714086169611007</v>
      </c>
      <c r="H201">
        <f ca="1"/>
        <v>0.72531907147039887</v>
      </c>
      <c r="I201">
        <f ca="1"/>
        <v>-0.25592249903899184</v>
      </c>
      <c r="J201">
        <f ca="1"/>
        <v>-0.42571240413815925</v>
      </c>
      <c r="K201">
        <v>199</v>
      </c>
      <c r="L201">
        <f t="shared" ca="1" si="26"/>
        <v>112161.58694247781</v>
      </c>
      <c r="M201">
        <f t="shared" ca="1" si="27"/>
        <v>4107.7565095996815</v>
      </c>
      <c r="N201">
        <f t="shared" ca="1" si="28"/>
        <v>258.97348762828403</v>
      </c>
      <c r="O201" s="4">
        <f t="shared" ca="1" si="29"/>
        <v>3.8251342793368753E-2</v>
      </c>
      <c r="P201" s="4">
        <f t="shared" ca="1" si="30"/>
        <v>-3.3662781379764743E-3</v>
      </c>
      <c r="Q201" s="4">
        <f t="shared" ca="1" si="31"/>
        <v>-2.611294976544587E-2</v>
      </c>
      <c r="R201" s="4" cm="1">
        <f t="array" aca="1" ref="R201" ca="1">_xlfn._xlws.SORT(SUMPRODUCT($U$2:$W$2,O201:Q201))</f>
        <v>2.2950066531862764E-3</v>
      </c>
      <c r="S201" s="4">
        <f ca="1"/>
        <v>1.3248049178424556E-2</v>
      </c>
    </row>
    <row r="202" spans="1:19" x14ac:dyDescent="0.25">
      <c r="A202" s="4">
        <f>IFERROR(Merged_data[[#This Row],[BTCUSD_Close]]/Merged_data!D201-1,"")</f>
        <v>-3.7526819438892467E-2</v>
      </c>
      <c r="B202" s="4">
        <f>IFERROR(Merged_data[[#This Row],[XAUUSD_Close]]/Merged_data!C201-1, "")</f>
        <v>-6.0965525872357373E-3</v>
      </c>
      <c r="C202" s="4">
        <f>IFERROR(Merged_data[[#This Row],[AAPL_Close]]/Merged_data!B201-1,"")</f>
        <v>-2.3571765310933523E-3</v>
      </c>
      <c r="D202" s="4">
        <f t="shared" si="24"/>
        <v>-1.4403819825890039E-2</v>
      </c>
      <c r="E202">
        <f t="shared" ca="1" si="25"/>
        <v>-0.81480379323059082</v>
      </c>
      <c r="F202">
        <f t="shared" ca="1" si="25"/>
        <v>0.58173703928540055</v>
      </c>
      <c r="G202">
        <f t="shared" ca="1" si="25"/>
        <v>-3.5453269935259948E-2</v>
      </c>
      <c r="H202">
        <f ca="1"/>
        <v>-0.81480379323059082</v>
      </c>
      <c r="I202">
        <f ca="1"/>
        <v>0.53815462877621623</v>
      </c>
      <c r="J202">
        <f ca="1"/>
        <v>-0.25662975645417446</v>
      </c>
      <c r="K202">
        <v>200</v>
      </c>
      <c r="L202">
        <f t="shared" ca="1" si="26"/>
        <v>107574.89142702032</v>
      </c>
      <c r="M202">
        <f t="shared" ca="1" si="27"/>
        <v>4147.7372219147119</v>
      </c>
      <c r="N202">
        <f t="shared" ca="1" si="28"/>
        <v>259.87729042661471</v>
      </c>
      <c r="O202" s="4">
        <f t="shared" ca="1" si="29"/>
        <v>-4.1753302655618718E-2</v>
      </c>
      <c r="P202" s="4">
        <f t="shared" ca="1" si="30"/>
        <v>9.6859197493172206E-3</v>
      </c>
      <c r="Q202" s="4">
        <f t="shared" ca="1" si="31"/>
        <v>3.4838676193762654E-3</v>
      </c>
      <c r="R202" s="4" cm="1">
        <f t="array" aca="1" ref="R202" ca="1">_xlfn._xlws.SORT(SUMPRODUCT($U$2:$W$2,O202:Q202))</f>
        <v>-7.6064626111458479E-3</v>
      </c>
      <c r="S202" s="4">
        <f ca="1"/>
        <v>1.334063570842439E-2</v>
      </c>
    </row>
    <row r="203" spans="1:19" x14ac:dyDescent="0.25">
      <c r="A203" s="4">
        <f>IFERROR(Merged_data[[#This Row],[BTCUSD_Close]]/Merged_data!D202-1,"")</f>
        <v>-8.5184651505776365E-3</v>
      </c>
      <c r="B203" s="4">
        <f>IFERROR(Merged_data[[#This Row],[XAUUSD_Close]]/Merged_data!C202-1, "")</f>
        <v>1.0792871308502594E-3</v>
      </c>
      <c r="C203" s="4">
        <f>IFERROR(Merged_data[[#This Row],[AAPL_Close]]/Merged_data!B202-1,"")</f>
        <v>-5.112123034624938E-3</v>
      </c>
      <c r="D203" s="4">
        <f t="shared" si="24"/>
        <v>-3.6574616032206686E-3</v>
      </c>
      <c r="E203">
        <f t="shared" ca="1" si="25"/>
        <v>1.2735693336820322</v>
      </c>
      <c r="F203">
        <f t="shared" ca="1" si="25"/>
        <v>-1.4675041890743576</v>
      </c>
      <c r="G203">
        <f t="shared" ca="1" si="25"/>
        <v>0.9078815854644473</v>
      </c>
      <c r="H203">
        <f ca="1"/>
        <v>1.2735693336820322</v>
      </c>
      <c r="I203">
        <f ca="1"/>
        <v>-1.3986132830785893</v>
      </c>
      <c r="J203">
        <f ca="1"/>
        <v>1.2237310731927105</v>
      </c>
      <c r="K203">
        <v>201</v>
      </c>
      <c r="L203">
        <f t="shared" ca="1" si="26"/>
        <v>113840.72967758711</v>
      </c>
      <c r="M203">
        <f t="shared" ca="1" si="27"/>
        <v>4050.8947544115504</v>
      </c>
      <c r="N203">
        <f t="shared" ca="1" si="28"/>
        <v>267.92800486353781</v>
      </c>
      <c r="O203" s="4">
        <f t="shared" ca="1" si="29"/>
        <v>5.6613093990586644E-2</v>
      </c>
      <c r="P203" s="4">
        <f t="shared" ca="1" si="30"/>
        <v>-2.3625154076746518E-2</v>
      </c>
      <c r="Q203" s="4">
        <f t="shared" ca="1" si="31"/>
        <v>3.0508746142399255E-2</v>
      </c>
      <c r="R203" s="4" cm="1">
        <f t="array" aca="1" ref="R203" ca="1">_xlfn._xlws.SORT(SUMPRODUCT($U$2:$W$2,O203:Q203))</f>
        <v>1.6686490409197161E-2</v>
      </c>
      <c r="S203" s="4">
        <f ca="1"/>
        <v>1.3553686515854872E-2</v>
      </c>
    </row>
    <row r="204" spans="1:19" x14ac:dyDescent="0.25">
      <c r="A204" s="4">
        <f>IFERROR(Merged_data[[#This Row],[BTCUSD_Close]]/Merged_data!D203-1,"")</f>
        <v>-2.1799716176243988E-3</v>
      </c>
      <c r="B204" s="4">
        <f>IFERROR(Merged_data[[#This Row],[XAUUSD_Close]]/Merged_data!C203-1, "")</f>
        <v>-1.8627578699275116E-3</v>
      </c>
      <c r="C204" s="4">
        <f>IFERROR(Merged_data[[#This Row],[AAPL_Close]]/Merged_data!B203-1,"")</f>
        <v>-3.0225830130835574E-3</v>
      </c>
      <c r="D204" s="4">
        <f t="shared" si="24"/>
        <v>-2.3058695371833914E-3</v>
      </c>
      <c r="E204">
        <f t="shared" ca="1" si="25"/>
        <v>0.3938899331566143</v>
      </c>
      <c r="F204">
        <f t="shared" ca="1" si="25"/>
        <v>-0.91057170089144512</v>
      </c>
      <c r="G204">
        <f t="shared" ca="1" si="25"/>
        <v>0.14749153275643814</v>
      </c>
      <c r="H204">
        <f ca="1"/>
        <v>0.3938899331566143</v>
      </c>
      <c r="I204">
        <f ca="1"/>
        <v>-0.88863518939954633</v>
      </c>
      <c r="J204">
        <f ca="1"/>
        <v>0.25174365523949538</v>
      </c>
      <c r="K204">
        <v>202</v>
      </c>
      <c r="L204">
        <f t="shared" ca="1" si="26"/>
        <v>111157.85358615815</v>
      </c>
      <c r="M204">
        <f t="shared" ca="1" si="27"/>
        <v>4076.1717034388521</v>
      </c>
      <c r="N204">
        <f t="shared" ca="1" si="28"/>
        <v>262.61398357112654</v>
      </c>
      <c r="O204" s="4">
        <f t="shared" ca="1" si="29"/>
        <v>-2.3849067978319764E-2</v>
      </c>
      <c r="P204" s="4">
        <f t="shared" ca="1" si="30"/>
        <v>6.2204562160343754E-3</v>
      </c>
      <c r="Q204" s="4">
        <f t="shared" ca="1" si="31"/>
        <v>-2.0033094939964999E-2</v>
      </c>
      <c r="R204" s="4" cm="1">
        <f t="array" aca="1" ref="R204" ca="1">_xlfn._xlws.SORT(SUMPRODUCT($U$2:$W$2,O204:Q204))</f>
        <v>-1.0676466389071678E-2</v>
      </c>
      <c r="S204" s="4">
        <f ca="1"/>
        <v>1.3914763358770987E-2</v>
      </c>
    </row>
    <row r="205" spans="1:19" x14ac:dyDescent="0.25">
      <c r="A205" s="4">
        <f>IFERROR(Merged_data[[#This Row],[BTCUSD_Close]]/Merged_data!D204-1,"")</f>
        <v>-2.8178788372073105E-2</v>
      </c>
      <c r="B205" s="4">
        <f>IFERROR(Merged_data[[#This Row],[XAUUSD_Close]]/Merged_data!C204-1, "")</f>
        <v>-5.1051406951572176E-3</v>
      </c>
      <c r="C205" s="4">
        <f>IFERROR(Merged_data[[#This Row],[AAPL_Close]]/Merged_data!B204-1,"")</f>
        <v>-1.4292520247736196E-3</v>
      </c>
      <c r="D205" s="4">
        <f t="shared" si="24"/>
        <v>-1.0924468397116905E-2</v>
      </c>
      <c r="E205">
        <f t="shared" ca="1" si="25"/>
        <v>0.8280829174579003</v>
      </c>
      <c r="F205">
        <f t="shared" ca="1" si="25"/>
        <v>-0.58687593297385809</v>
      </c>
      <c r="G205">
        <f t="shared" ca="1" si="25"/>
        <v>-1.1868262955222066</v>
      </c>
      <c r="H205">
        <f ca="1"/>
        <v>0.8280829174579003</v>
      </c>
      <c r="I205">
        <f ca="1"/>
        <v>-0.54258923420845817</v>
      </c>
      <c r="J205">
        <f ca="1"/>
        <v>-0.91643671863930687</v>
      </c>
      <c r="K205">
        <v>203</v>
      </c>
      <c r="L205">
        <f t="shared" ca="1" si="26"/>
        <v>112473.82598651275</v>
      </c>
      <c r="M205">
        <f t="shared" ca="1" si="27"/>
        <v>4093.4127624542471</v>
      </c>
      <c r="N205">
        <f t="shared" ca="1" si="28"/>
        <v>256.36665442822425</v>
      </c>
      <c r="O205" s="4">
        <f t="shared" ca="1" si="29"/>
        <v>1.176924121840184E-2</v>
      </c>
      <c r="P205" s="4">
        <f t="shared" ca="1" si="30"/>
        <v>4.2207984220875407E-3</v>
      </c>
      <c r="Q205" s="4">
        <f t="shared" ca="1" si="31"/>
        <v>-2.4076547255342674E-2</v>
      </c>
      <c r="R205" s="4" cm="1">
        <f t="array" aca="1" ref="R205" ca="1">_xlfn._xlws.SORT(SUMPRODUCT($U$2:$W$2,O205:Q205))</f>
        <v>-2.0038724422472339E-3</v>
      </c>
      <c r="S205" s="4">
        <f ca="1"/>
        <v>1.4767489871112677E-2</v>
      </c>
    </row>
    <row r="206" spans="1:19" x14ac:dyDescent="0.25">
      <c r="A206" s="4">
        <f>IFERROR(Merged_data[[#This Row],[BTCUSD_Close]]/Merged_data!D205-1,"")</f>
        <v>8.4633694789737479E-3</v>
      </c>
      <c r="B206" s="4">
        <f>IFERROR(Merged_data[[#This Row],[XAUUSD_Close]]/Merged_data!C205-1, "")</f>
        <v>9.8359419765372547E-3</v>
      </c>
      <c r="C206" s="4">
        <f>IFERROR(Merged_data[[#This Row],[AAPL_Close]]/Merged_data!B205-1,"")</f>
        <v>-1.9734559333795976E-2</v>
      </c>
      <c r="D206" s="4">
        <f t="shared" si="24"/>
        <v>5.5301983416823457E-4</v>
      </c>
      <c r="E206">
        <f t="shared" ca="1" si="25"/>
        <v>-1.0875240210611641</v>
      </c>
      <c r="F206">
        <f t="shared" ca="1" si="25"/>
        <v>0.25010030221539276</v>
      </c>
      <c r="G206">
        <f t="shared" ca="1" si="25"/>
        <v>0.76067080616520089</v>
      </c>
      <c r="H206">
        <f ca="1"/>
        <v>-1.0875240210611641</v>
      </c>
      <c r="I206">
        <f ca="1"/>
        <v>0.19265654061456727</v>
      </c>
      <c r="J206">
        <f ca="1"/>
        <v>0.43715548836888896</v>
      </c>
      <c r="K206">
        <v>204</v>
      </c>
      <c r="L206">
        <f t="shared" ca="1" si="26"/>
        <v>106781.86205582065</v>
      </c>
      <c r="M206">
        <f t="shared" ca="1" si="27"/>
        <v>4130.2887856188336</v>
      </c>
      <c r="N206">
        <f t="shared" ca="1" si="28"/>
        <v>263.61896946014394</v>
      </c>
      <c r="O206" s="4">
        <f t="shared" ca="1" si="29"/>
        <v>-5.1932455512584269E-2</v>
      </c>
      <c r="P206" s="4">
        <f t="shared" ca="1" si="30"/>
        <v>8.9682900360450128E-3</v>
      </c>
      <c r="Q206" s="4">
        <f t="shared" ca="1" si="31"/>
        <v>2.7896099432901583E-2</v>
      </c>
      <c r="R206" s="4" cm="1">
        <f t="array" aca="1" ref="R206" ca="1">_xlfn._xlws.SORT(SUMPRODUCT($U$2:$W$2,O206:Q206))</f>
        <v>-3.6235908094868017E-3</v>
      </c>
      <c r="S206" s="4">
        <f ca="1"/>
        <v>1.4772656531858889E-2</v>
      </c>
    </row>
    <row r="207" spans="1:19" x14ac:dyDescent="0.25">
      <c r="A207" s="4">
        <f>IFERROR(Merged_data[[#This Row],[BTCUSD_Close]]/Merged_data!D206-1,"")</f>
        <v>-1.548212256316106E-2</v>
      </c>
      <c r="B207" s="4">
        <f>IFERROR(Merged_data[[#This Row],[XAUUSD_Close]]/Merged_data!C206-1, "")</f>
        <v>-2.8191601351643669E-3</v>
      </c>
      <c r="C207" s="4">
        <f>IFERROR(Merged_data[[#This Row],[AAPL_Close]]/Merged_data!B206-1,"")</f>
        <v>-4.9112871111897105E-3</v>
      </c>
      <c r="D207" s="4">
        <f t="shared" si="24"/>
        <v>-7.2456869563709784E-3</v>
      </c>
      <c r="E207">
        <f t="shared" ca="1" si="25"/>
        <v>-1.0947067767855454</v>
      </c>
      <c r="F207">
        <f t="shared" ca="1" si="25"/>
        <v>-0.75915367879453566</v>
      </c>
      <c r="G207">
        <f t="shared" ca="1" si="25"/>
        <v>0.67567942263298497</v>
      </c>
      <c r="H207">
        <f ca="1"/>
        <v>-1.0947067767855454</v>
      </c>
      <c r="I207">
        <f ca="1"/>
        <v>-0.81558253701223138</v>
      </c>
      <c r="J207">
        <f ca="1"/>
        <v>0.35691155052171353</v>
      </c>
      <c r="K207">
        <v>205</v>
      </c>
      <c r="L207">
        <f t="shared" ca="1" si="26"/>
        <v>106760.91393286762</v>
      </c>
      <c r="M207">
        <f t="shared" ca="1" si="27"/>
        <v>4079.8019513600229</v>
      </c>
      <c r="N207">
        <f t="shared" ca="1" si="28"/>
        <v>263.18313408502036</v>
      </c>
      <c r="O207" s="4">
        <f t="shared" ca="1" si="29"/>
        <v>-1.9619603541473223E-4</v>
      </c>
      <c r="P207" s="4">
        <f t="shared" ca="1" si="30"/>
        <v>-1.2298882502459214E-2</v>
      </c>
      <c r="Q207" s="4">
        <f t="shared" ca="1" si="31"/>
        <v>-1.6546459159079189E-3</v>
      </c>
      <c r="R207" s="4" cm="1">
        <f t="array" aca="1" ref="R207" ca="1">_xlfn._xlws.SORT(SUMPRODUCT($U$2:$W$2,O207:Q207))</f>
        <v>-5.4748055863804808E-3</v>
      </c>
      <c r="S207" s="4">
        <f ca="1"/>
        <v>1.4829189882667548E-2</v>
      </c>
    </row>
    <row r="208" spans="1:19" x14ac:dyDescent="0.25">
      <c r="A208" s="4">
        <f>IFERROR(Merged_data[[#This Row],[BTCUSD_Close]]/Merged_data!D207-1,"")</f>
        <v>3.5500226427157111E-2</v>
      </c>
      <c r="B208" s="4">
        <f>IFERROR(Merged_data[[#This Row],[XAUUSD_Close]]/Merged_data!C207-1, "")</f>
        <v>1.0230378173596177E-2</v>
      </c>
      <c r="C208" s="4">
        <f>IFERROR(Merged_data[[#This Row],[AAPL_Close]]/Merged_data!B207-1,"")</f>
        <v>1.2716763005780285E-2</v>
      </c>
      <c r="D208" s="4">
        <f t="shared" si="24"/>
        <v>1.855724809931969E-2</v>
      </c>
      <c r="E208">
        <f t="shared" ca="1" si="25"/>
        <v>1.4526661594982944</v>
      </c>
      <c r="F208">
        <f t="shared" ca="1" si="25"/>
        <v>-9.8475917271212479E-2</v>
      </c>
      <c r="G208">
        <f t="shared" ca="1" si="25"/>
        <v>-1.0586402399727077</v>
      </c>
      <c r="H208">
        <f ca="1"/>
        <v>1.4526661594982944</v>
      </c>
      <c r="I208">
        <f ca="1"/>
        <v>-2.2070047818533042E-2</v>
      </c>
      <c r="J208">
        <f ca="1"/>
        <v>-0.62573633693264907</v>
      </c>
      <c r="K208">
        <v>206</v>
      </c>
      <c r="L208">
        <f t="shared" ca="1" si="26"/>
        <v>114393.95018510008</v>
      </c>
      <c r="M208">
        <f t="shared" ca="1" si="27"/>
        <v>4119.482209449312</v>
      </c>
      <c r="N208">
        <f t="shared" ca="1" si="28"/>
        <v>257.90655117182297</v>
      </c>
      <c r="O208" s="4">
        <f t="shared" ca="1" si="29"/>
        <v>6.905630942020162E-2</v>
      </c>
      <c r="P208" s="4">
        <f t="shared" ca="1" si="30"/>
        <v>9.6790322406770882E-3</v>
      </c>
      <c r="Q208" s="4">
        <f t="shared" ca="1" si="31"/>
        <v>-2.025280262459677E-2</v>
      </c>
      <c r="R208" s="4" cm="1">
        <f t="array" aca="1" ref="R208" ca="1">_xlfn._xlws.SORT(SUMPRODUCT($U$2:$W$2,O208:Q208))</f>
        <v>1.8512664934952287E-2</v>
      </c>
      <c r="S208" s="4">
        <f ca="1"/>
        <v>1.5193687083873772E-2</v>
      </c>
    </row>
    <row r="209" spans="1:19" x14ac:dyDescent="0.25">
      <c r="A209" s="4">
        <f>IFERROR(Merged_data[[#This Row],[BTCUSD_Close]]/Merged_data!D208-1,"")</f>
        <v>-5.7607381428093629E-2</v>
      </c>
      <c r="B209" s="4">
        <f>IFERROR(Merged_data[[#This Row],[XAUUSD_Close]]/Merged_data!C208-1, "")</f>
        <v>-2.2115269170396301E-3</v>
      </c>
      <c r="C209" s="4">
        <f>IFERROR(Merged_data[[#This Row],[AAPL_Close]]/Merged_data!B208-1,"")</f>
        <v>-2.6343519494204104E-3</v>
      </c>
      <c r="D209" s="4">
        <f t="shared" si="24"/>
        <v>-1.8957130780070063E-2</v>
      </c>
      <c r="E209">
        <f t="shared" ca="1" si="25"/>
        <v>-1.1700447565687748</v>
      </c>
      <c r="F209">
        <f t="shared" ca="1" si="25"/>
        <v>-0.66946451754036562</v>
      </c>
      <c r="G209">
        <f t="shared" ca="1" si="25"/>
        <v>-0.45398868602855025</v>
      </c>
      <c r="H209">
        <f ca="1"/>
        <v>-1.1700447565687748</v>
      </c>
      <c r="I209">
        <f ca="1"/>
        <v>-0.7299725873797176</v>
      </c>
      <c r="J209">
        <f ca="1"/>
        <v>-0.75130753631818759</v>
      </c>
      <c r="K209">
        <v>207</v>
      </c>
      <c r="L209">
        <f t="shared" ca="1" si="26"/>
        <v>106542.77686708223</v>
      </c>
      <c r="M209">
        <f t="shared" ca="1" si="27"/>
        <v>4084.0621805600294</v>
      </c>
      <c r="N209">
        <f t="shared" ca="1" si="28"/>
        <v>257.2397407099798</v>
      </c>
      <c r="O209" s="4">
        <f t="shared" ca="1" si="29"/>
        <v>-7.1101629320783968E-2</v>
      </c>
      <c r="P209" s="4">
        <f t="shared" ca="1" si="30"/>
        <v>-8.6353525522657511E-3</v>
      </c>
      <c r="Q209" s="4">
        <f t="shared" ca="1" si="31"/>
        <v>-2.5888212523891207E-3</v>
      </c>
      <c r="R209" s="4" cm="1">
        <f t="array" aca="1" ref="R209" ca="1">_xlfn._xlws.SORT(SUMPRODUCT($U$2:$W$2,O209:Q209))</f>
        <v>-2.556127619285823E-2</v>
      </c>
      <c r="S209" s="4">
        <f ca="1"/>
        <v>1.534205877611209E-2</v>
      </c>
    </row>
    <row r="210" spans="1:19" x14ac:dyDescent="0.25">
      <c r="A210" s="4">
        <f>IFERROR(Merged_data[[#This Row],[BTCUSD_Close]]/Merged_data!D209-1,"")</f>
        <v>1.5541542689196497E-2</v>
      </c>
      <c r="B210" s="4">
        <f>IFERROR(Merged_data[[#This Row],[XAUUSD_Close]]/Merged_data!C209-1, "")</f>
        <v>8.2922952366095704E-3</v>
      </c>
      <c r="C210" s="4">
        <f>IFERROR(Merged_data[[#This Row],[AAPL_Close]]/Merged_data!B209-1,"")</f>
        <v>9.4646944884662076E-3</v>
      </c>
      <c r="D210" s="4">
        <f t="shared" si="24"/>
        <v>1.0818789247942639E-2</v>
      </c>
      <c r="E210">
        <f t="shared" ca="1" si="25"/>
        <v>-0.13953655465188824</v>
      </c>
      <c r="F210">
        <f t="shared" ca="1" si="25"/>
        <v>0.16819476470148215</v>
      </c>
      <c r="G210">
        <f t="shared" ca="1" si="25"/>
        <v>0.36400837919480228</v>
      </c>
      <c r="H210">
        <f ca="1"/>
        <v>-0.13953655465188824</v>
      </c>
      <c r="I210">
        <f ca="1"/>
        <v>0.16063662413966015</v>
      </c>
      <c r="J210">
        <f ca="1"/>
        <v>0.31208503901240808</v>
      </c>
      <c r="K210">
        <v>208</v>
      </c>
      <c r="L210">
        <f t="shared" ca="1" si="26"/>
        <v>109561.00988543524</v>
      </c>
      <c r="M210">
        <f t="shared" ca="1" si="27"/>
        <v>4128.670951570627</v>
      </c>
      <c r="N210">
        <f t="shared" ca="1" si="28"/>
        <v>262.93943048577745</v>
      </c>
      <c r="O210" s="4">
        <f t="shared" ca="1" si="29"/>
        <v>2.7934996770486466E-2</v>
      </c>
      <c r="P210" s="4">
        <f t="shared" ca="1" si="30"/>
        <v>1.0863426096305947E-2</v>
      </c>
      <c r="Q210" s="4">
        <f t="shared" ca="1" si="31"/>
        <v>2.1915210021798137E-2</v>
      </c>
      <c r="R210" s="4" cm="1">
        <f t="array" aca="1" ref="R210" ca="1">_xlfn._xlws.SORT(SUMPRODUCT($U$2:$W$2,O210:Q210))</f>
        <v>1.930043247620776E-2</v>
      </c>
      <c r="S210" s="4">
        <f ca="1"/>
        <v>1.5783327091989929E-2</v>
      </c>
    </row>
    <row r="211" spans="1:19" x14ac:dyDescent="0.25">
      <c r="A211" s="4">
        <f>IFERROR(Merged_data[[#This Row],[BTCUSD_Close]]/Merged_data!D210-1,"")</f>
        <v>-5.1968066519125777E-4</v>
      </c>
      <c r="B211" s="4">
        <f>IFERROR(Merged_data[[#This Row],[XAUUSD_Close]]/Merged_data!C210-1, "")</f>
        <v>1.1167801372253816E-3</v>
      </c>
      <c r="C211" s="4">
        <f>IFERROR(Merged_data[[#This Row],[AAPL_Close]]/Merged_data!B210-1,"")</f>
        <v>5.1458723998081268E-3</v>
      </c>
      <c r="D211" s="4">
        <f t="shared" si="24"/>
        <v>1.8345695752752132E-3</v>
      </c>
      <c r="E211">
        <f t="shared" ca="1" si="25"/>
        <v>2.2323111630721795</v>
      </c>
      <c r="F211">
        <f t="shared" ca="1" si="25"/>
        <v>0.50384664819612568</v>
      </c>
      <c r="G211">
        <f t="shared" ca="1" si="25"/>
        <v>0.80013064356026609</v>
      </c>
      <c r="H211">
        <f ca="1"/>
        <v>2.2323111630721795</v>
      </c>
      <c r="I211">
        <f ca="1"/>
        <v>0.62035584348280359</v>
      </c>
      <c r="J211">
        <f ca="1"/>
        <v>1.3725417990507229</v>
      </c>
      <c r="K211">
        <v>209</v>
      </c>
      <c r="L211">
        <f t="shared" ca="1" si="26"/>
        <v>116836.96316302654</v>
      </c>
      <c r="M211">
        <f t="shared" ca="1" si="27"/>
        <v>4151.88706768668</v>
      </c>
      <c r="N211">
        <f t="shared" ca="1" si="28"/>
        <v>268.74914752902833</v>
      </c>
      <c r="O211" s="4">
        <f t="shared" ca="1" si="29"/>
        <v>6.4297923766705192E-2</v>
      </c>
      <c r="P211" s="4">
        <f t="shared" ca="1" si="30"/>
        <v>5.607394306955572E-3</v>
      </c>
      <c r="Q211" s="4">
        <f t="shared" ca="1" si="31"/>
        <v>2.1854704133168517E-2</v>
      </c>
      <c r="R211" s="4" cm="1">
        <f t="array" aca="1" ref="R211" ca="1">_xlfn._xlws.SORT(SUMPRODUCT($U$2:$W$2,O211:Q211))</f>
        <v>2.8088746092744341E-2</v>
      </c>
      <c r="S211" s="4">
        <f ca="1"/>
        <v>1.5970024036834837E-2</v>
      </c>
    </row>
    <row r="212" spans="1:19" x14ac:dyDescent="0.25">
      <c r="A212" s="4">
        <f>IFERROR(Merged_data[[#This Row],[BTCUSD_Close]]/Merged_data!D211-1,"")</f>
        <v>4.464405776833491E-3</v>
      </c>
      <c r="B212" s="4">
        <f>IFERROR(Merged_data[[#This Row],[XAUUSD_Close]]/Merged_data!C211-1, "")</f>
        <v>5.6335955378625791E-3</v>
      </c>
      <c r="C212" s="4">
        <f>IFERROR(Merged_data[[#This Row],[AAPL_Close]]/Merged_data!B211-1,"")</f>
        <v>8.9808668488871035E-3</v>
      </c>
      <c r="D212" s="4">
        <f t="shared" si="24"/>
        <v>6.2870200028612103E-3</v>
      </c>
      <c r="E212">
        <f t="shared" ca="1" si="25"/>
        <v>0.65379667732868163</v>
      </c>
      <c r="F212">
        <f t="shared" ca="1" si="25"/>
        <v>-1.4607339630068472</v>
      </c>
      <c r="G212">
        <f t="shared" ca="1" si="25"/>
        <v>1.1024166944475115E-2</v>
      </c>
      <c r="H212">
        <f ca="1"/>
        <v>0.65379667732868163</v>
      </c>
      <c r="I212">
        <f ca="1"/>
        <v>-1.4243926234115376</v>
      </c>
      <c r="J212">
        <f ca="1"/>
        <v>0.19261235589025227</v>
      </c>
      <c r="K212">
        <v>210</v>
      </c>
      <c r="L212">
        <f t="shared" ca="1" si="26"/>
        <v>111942.50696180627</v>
      </c>
      <c r="M212">
        <f t="shared" ca="1" si="27"/>
        <v>4049.6102267223096</v>
      </c>
      <c r="N212">
        <f t="shared" ca="1" si="28"/>
        <v>262.29234883802104</v>
      </c>
      <c r="O212" s="4">
        <f t="shared" ca="1" si="29"/>
        <v>-4.2794076968746445E-2</v>
      </c>
      <c r="P212" s="4">
        <f t="shared" ca="1" si="30"/>
        <v>-2.4942309824674377E-2</v>
      </c>
      <c r="Q212" s="4">
        <f t="shared" ca="1" si="31"/>
        <v>-2.4318690512557875E-2</v>
      </c>
      <c r="R212" s="4" cm="1">
        <f t="array" aca="1" ref="R212" ca="1">_xlfn._xlws.SORT(SUMPRODUCT($U$2:$W$2,O212:Q212))</f>
        <v>-3.0110754174261047E-2</v>
      </c>
      <c r="S212" s="4">
        <f ca="1"/>
        <v>1.6175670481262606E-2</v>
      </c>
    </row>
    <row r="213" spans="1:19" x14ac:dyDescent="0.25">
      <c r="A213" s="4">
        <f>IFERROR(Merged_data[[#This Row],[BTCUSD_Close]]/Merged_data!D212-1,"")</f>
        <v>-3.4351656001499364E-2</v>
      </c>
      <c r="B213" s="4">
        <f>IFERROR(Merged_data[[#This Row],[XAUUSD_Close]]/Merged_data!C212-1, "")</f>
        <v>1.0460645990256534E-2</v>
      </c>
      <c r="C213" s="4">
        <f>IFERROR(Merged_data[[#This Row],[AAPL_Close]]/Merged_data!B212-1,"")</f>
        <v>-1.8059855521156409E-3</v>
      </c>
      <c r="D213" s="4">
        <f t="shared" si="24"/>
        <v>-6.6630340699818883E-3</v>
      </c>
      <c r="E213">
        <f t="shared" ca="1" si="25"/>
        <v>-1.3647935784998388</v>
      </c>
      <c r="F213">
        <f t="shared" ca="1" si="25"/>
        <v>0.80669095718560035</v>
      </c>
      <c r="G213">
        <f t="shared" ca="1" si="25"/>
        <v>0.27588459892562056</v>
      </c>
      <c r="H213">
        <f ca="1"/>
        <v>-1.3647935784998388</v>
      </c>
      <c r="I213">
        <f ca="1"/>
        <v>0.73392189273770758</v>
      </c>
      <c r="J213">
        <f ca="1"/>
        <v>-0.10650886843776364</v>
      </c>
      <c r="K213">
        <v>211</v>
      </c>
      <c r="L213">
        <f t="shared" ca="1" si="26"/>
        <v>105981.13811818197</v>
      </c>
      <c r="M213">
        <f t="shared" ca="1" si="27"/>
        <v>4157.640128474447</v>
      </c>
      <c r="N213">
        <f t="shared" ca="1" si="28"/>
        <v>260.68013111213912</v>
      </c>
      <c r="O213" s="4">
        <f t="shared" ca="1" si="29"/>
        <v>-5.4724272800468134E-2</v>
      </c>
      <c r="P213" s="4">
        <f t="shared" ca="1" si="30"/>
        <v>2.6327000330207129E-2</v>
      </c>
      <c r="Q213" s="4">
        <f t="shared" ca="1" si="31"/>
        <v>-6.16561251320098E-3</v>
      </c>
      <c r="R213" s="4" cm="1">
        <f t="array" aca="1" ref="R213" ca="1">_xlfn._xlws.SORT(SUMPRODUCT($U$2:$W$2,O213:Q213))</f>
        <v>-7.7361654620178811E-3</v>
      </c>
      <c r="S213" s="4">
        <f ca="1"/>
        <v>1.6598739595915554E-2</v>
      </c>
    </row>
    <row r="214" spans="1:19" x14ac:dyDescent="0.25">
      <c r="A214" s="4">
        <f>IFERROR(Merged_data[[#This Row],[BTCUSD_Close]]/Merged_data!D213-1,"")</f>
        <v>2.7726945045194906E-2</v>
      </c>
      <c r="B214" s="4">
        <f>IFERROR(Merged_data[[#This Row],[XAUUSD_Close]]/Merged_data!C213-1, "")</f>
        <v>2.3395624146415939E-2</v>
      </c>
      <c r="C214" s="4">
        <f>IFERROR(Merged_data[[#This Row],[AAPL_Close]]/Merged_data!B213-1,"")</f>
        <v>-1.0424743689153027E-2</v>
      </c>
      <c r="D214" s="4">
        <f t="shared" si="24"/>
        <v>1.454891006537894E-2</v>
      </c>
      <c r="E214">
        <f t="shared" ca="1" si="25"/>
        <v>3.8721358623927539E-2</v>
      </c>
      <c r="F214">
        <f t="shared" ca="1" si="25"/>
        <v>-0.91181918136855744</v>
      </c>
      <c r="G214">
        <f t="shared" ca="1" si="25"/>
        <v>-2.8676939437183706</v>
      </c>
      <c r="H214">
        <f ca="1"/>
        <v>3.8721358623927539E-2</v>
      </c>
      <c r="I214">
        <f ca="1"/>
        <v>-0.90852853957276813</v>
      </c>
      <c r="J214">
        <f ca="1"/>
        <v>-2.7470455600269985</v>
      </c>
      <c r="K214">
        <v>212</v>
      </c>
      <c r="L214">
        <f t="shared" ca="1" si="26"/>
        <v>110091.09136573487</v>
      </c>
      <c r="M214">
        <f t="shared" ca="1" si="27"/>
        <v>4075.1705207542373</v>
      </c>
      <c r="N214">
        <f t="shared" ca="1" si="28"/>
        <v>246.8727267844281</v>
      </c>
      <c r="O214" s="4">
        <f t="shared" ca="1" si="29"/>
        <v>3.8046990431736066E-2</v>
      </c>
      <c r="P214" s="4">
        <f t="shared" ca="1" si="30"/>
        <v>-2.0035045100593465E-2</v>
      </c>
      <c r="Q214" s="4">
        <f t="shared" ca="1" si="31"/>
        <v>-5.4421176774889654E-2</v>
      </c>
      <c r="R214" s="4" cm="1">
        <f t="array" aca="1" ref="R214" ca="1">_xlfn._xlws.SORT(SUMPRODUCT($U$2:$W$2,O214:Q214))</f>
        <v>-1.2926273943183462E-2</v>
      </c>
      <c r="S214" s="4">
        <f ca="1"/>
        <v>1.6686490409197161E-2</v>
      </c>
    </row>
    <row r="215" spans="1:19" x14ac:dyDescent="0.25">
      <c r="A215" s="4">
        <f>IFERROR(Merged_data[[#This Row],[BTCUSD_Close]]/Merged_data!D214-1,"")</f>
        <v>7.518120829511421E-3</v>
      </c>
      <c r="B215" s="4">
        <f>IFERROR(Merged_data[[#This Row],[XAUUSD_Close]]/Merged_data!C214-1, "")</f>
        <v>7.4947815319299504E-3</v>
      </c>
      <c r="C215" s="4">
        <f>IFERROR(Merged_data[[#This Row],[AAPL_Close]]/Merged_data!B214-1,"")</f>
        <v>3.8089848511231095E-2</v>
      </c>
      <c r="D215" s="4">
        <f t="shared" si="24"/>
        <v>1.6680303414994734E-2</v>
      </c>
      <c r="E215">
        <f t="shared" ca="1" si="25"/>
        <v>-0.79677028586201382</v>
      </c>
      <c r="F215">
        <f t="shared" ca="1" si="25"/>
        <v>-0.36755017245438404</v>
      </c>
      <c r="G215">
        <f t="shared" ca="1" si="25"/>
        <v>-0.12789029578503053</v>
      </c>
      <c r="H215">
        <f ca="1"/>
        <v>-0.79677028586201382</v>
      </c>
      <c r="I215">
        <f ca="1"/>
        <v>-0.40887644745715718</v>
      </c>
      <c r="J215">
        <f ca="1"/>
        <v>-0.33742765834017269</v>
      </c>
      <c r="K215">
        <v>213</v>
      </c>
      <c r="L215">
        <f t="shared" ca="1" si="26"/>
        <v>107625.43048295523</v>
      </c>
      <c r="M215">
        <f t="shared" ca="1" si="27"/>
        <v>4100.0824784189208</v>
      </c>
      <c r="N215">
        <f t="shared" ca="1" si="28"/>
        <v>259.44202358543367</v>
      </c>
      <c r="O215" s="4">
        <f t="shared" ca="1" si="29"/>
        <v>-2.2651163847371279E-2</v>
      </c>
      <c r="P215" s="4">
        <f t="shared" ca="1" si="30"/>
        <v>6.0944987942801263E-3</v>
      </c>
      <c r="Q215" s="4">
        <f t="shared" ca="1" si="31"/>
        <v>4.9660334137973633E-2</v>
      </c>
      <c r="R215" s="4" cm="1">
        <f t="array" aca="1" ref="R215" ca="1">_xlfn._xlws.SORT(SUMPRODUCT($U$2:$W$2,O215:Q215))</f>
        <v>1.0540550604892757E-2</v>
      </c>
      <c r="S215" s="4">
        <f ca="1"/>
        <v>1.7549930024688441E-2</v>
      </c>
    </row>
    <row r="216" spans="1:19" x14ac:dyDescent="0.25">
      <c r="A216" s="4">
        <f>IFERROR(Merged_data[[#This Row],[BTCUSD_Close]]/Merged_data!D215-1,"")</f>
        <v>-1.3495903029437484E-2</v>
      </c>
      <c r="B216" s="4">
        <f>IFERROR(Merged_data[[#This Row],[XAUUSD_Close]]/Merged_data!C215-1, "")</f>
        <v>-3.8346951417362884E-3</v>
      </c>
      <c r="C216" s="4">
        <f>IFERROR(Merged_data[[#This Row],[AAPL_Close]]/Merged_data!B215-1,"")</f>
        <v>5.4933534616514734E-3</v>
      </c>
      <c r="D216" s="4">
        <f t="shared" si="24"/>
        <v>-3.9346429270303183E-3</v>
      </c>
      <c r="E216">
        <f t="shared" ca="1" si="25"/>
        <v>-0.27551605847834421</v>
      </c>
      <c r="F216">
        <f t="shared" ca="1" si="25"/>
        <v>-0.35687329804453499</v>
      </c>
      <c r="G216">
        <f t="shared" ca="1" si="25"/>
        <v>-0.98240504011287444</v>
      </c>
      <c r="H216">
        <f ca="1"/>
        <v>-0.27551605847834421</v>
      </c>
      <c r="I216">
        <f ca="1"/>
        <v>-0.37084663224090664</v>
      </c>
      <c r="J216">
        <f ca="1"/>
        <v>-1.019057116822587</v>
      </c>
      <c r="K216">
        <v>214</v>
      </c>
      <c r="L216">
        <f t="shared" ca="1" si="26"/>
        <v>109156.90941420043</v>
      </c>
      <c r="M216">
        <f t="shared" ca="1" si="27"/>
        <v>4101.9836847271517</v>
      </c>
      <c r="N216">
        <f t="shared" ca="1" si="28"/>
        <v>255.82262144105019</v>
      </c>
      <c r="O216" s="4">
        <f t="shared" ca="1" si="29"/>
        <v>1.4129420419191132E-2</v>
      </c>
      <c r="P216" s="4">
        <f t="shared" ca="1" si="30"/>
        <v>4.6359205216450837E-4</v>
      </c>
      <c r="Q216" s="4">
        <f t="shared" ca="1" si="31"/>
        <v>-1.4048942461240234E-2</v>
      </c>
      <c r="R216" s="4" cm="1">
        <f t="array" aca="1" ref="R216" ca="1">_xlfn._xlws.SORT(SUMPRODUCT($U$2:$W$2,O216:Q216))</f>
        <v>2.0958020825107265E-4</v>
      </c>
      <c r="S216" s="4">
        <f ca="1"/>
        <v>1.7627281793426253E-2</v>
      </c>
    </row>
    <row r="217" spans="1:19" x14ac:dyDescent="0.25">
      <c r="A217" s="4">
        <f>IFERROR(Merged_data[[#This Row],[BTCUSD_Close]]/Merged_data!D216-1,"")</f>
        <v>1.0504695897649352E-2</v>
      </c>
      <c r="B217" s="4">
        <f>IFERROR(Merged_data[[#This Row],[XAUUSD_Close]]/Merged_data!C216-1, "")</f>
        <v>1.3742419179036292E-2</v>
      </c>
      <c r="C217" s="4">
        <f>IFERROR(Merged_data[[#This Row],[AAPL_Close]]/Merged_data!B216-1,"")</f>
        <v>-3.7534406539330156E-4</v>
      </c>
      <c r="D217" s="4">
        <f t="shared" si="24"/>
        <v>8.5357732212913325E-3</v>
      </c>
      <c r="E217">
        <f t="shared" ca="1" si="25"/>
        <v>-9.9703074975484973E-2</v>
      </c>
      <c r="F217">
        <f t="shared" ca="1" si="25"/>
        <v>-1.0601498691327578</v>
      </c>
      <c r="G217">
        <f t="shared" ca="1" si="25"/>
        <v>-1.1775259719946769</v>
      </c>
      <c r="H217">
        <f ca="1"/>
        <v>-9.9703074975484973E-2</v>
      </c>
      <c r="I217">
        <f ca="1"/>
        <v>-1.0639224069239233</v>
      </c>
      <c r="J217">
        <f ca="1"/>
        <v>-1.1568738083373744</v>
      </c>
      <c r="K217">
        <v>215</v>
      </c>
      <c r="L217">
        <f t="shared" ca="1" si="26"/>
        <v>109678.25158260805</v>
      </c>
      <c r="M217">
        <f t="shared" ca="1" si="27"/>
        <v>4067.4496759383733</v>
      </c>
      <c r="N217">
        <f t="shared" ca="1" si="28"/>
        <v>255.09681091521284</v>
      </c>
      <c r="O217" s="4">
        <f t="shared" ca="1" si="29"/>
        <v>4.7647110486765737E-3</v>
      </c>
      <c r="P217" s="4">
        <f t="shared" ca="1" si="30"/>
        <v>-8.4544944470700371E-3</v>
      </c>
      <c r="Q217" s="4">
        <f t="shared" ca="1" si="31"/>
        <v>-2.8411955706685852E-3</v>
      </c>
      <c r="R217" s="4" cm="1">
        <f t="array" aca="1" ref="R217" ca="1">_xlfn._xlws.SORT(SUMPRODUCT($U$2:$W$2,O217:Q217))</f>
        <v>-2.8047431354256184E-3</v>
      </c>
      <c r="S217" s="4">
        <f ca="1"/>
        <v>1.7637706602556563E-2</v>
      </c>
    </row>
    <row r="218" spans="1:19" x14ac:dyDescent="0.25">
      <c r="A218" s="4">
        <f>IFERROR(Merged_data[[#This Row],[BTCUSD_Close]]/Merged_data!D217-1,"")</f>
        <v>5.9543529453900401E-3</v>
      </c>
      <c r="B218" s="4">
        <f>IFERROR(Merged_data[[#This Row],[XAUUSD_Close]]/Merged_data!C217-1, "")</f>
        <v>1.1498921324121669E-2</v>
      </c>
      <c r="C218" s="4">
        <f>IFERROR(Merged_data[[#This Row],[AAPL_Close]]/Merged_data!B217-1,"")</f>
        <v>-7.5514205849221971E-3</v>
      </c>
      <c r="D218" s="4">
        <f t="shared" si="24"/>
        <v>4.1204482377890216E-3</v>
      </c>
      <c r="E218">
        <f t="shared" ca="1" si="25"/>
        <v>-1.1586305829381258</v>
      </c>
      <c r="F218">
        <f t="shared" ca="1" si="25"/>
        <v>-0.42581130950310098</v>
      </c>
      <c r="G218">
        <f t="shared" ca="1" si="25"/>
        <v>-0.57576772107719232</v>
      </c>
      <c r="H218">
        <f ca="1"/>
        <v>-1.1586305829381258</v>
      </c>
      <c r="I218">
        <f ca="1"/>
        <v>-0.48605615637351679</v>
      </c>
      <c r="J218">
        <f ca="1"/>
        <v>-0.8663044533735007</v>
      </c>
      <c r="K218">
        <v>216</v>
      </c>
      <c r="L218">
        <f t="shared" ca="1" si="26"/>
        <v>106574.3341677252</v>
      </c>
      <c r="M218">
        <f t="shared" ca="1" si="27"/>
        <v>4096.220623202611</v>
      </c>
      <c r="N218">
        <f t="shared" ca="1" si="28"/>
        <v>256.62882495909093</v>
      </c>
      <c r="O218" s="4">
        <f t="shared" ca="1" si="29"/>
        <v>-2.8708378964194956E-2</v>
      </c>
      <c r="P218" s="4">
        <f t="shared" ca="1" si="30"/>
        <v>7.0485615726572368E-3</v>
      </c>
      <c r="Q218" s="4">
        <f t="shared" ca="1" si="31"/>
        <v>5.9876563284101932E-3</v>
      </c>
      <c r="R218" s="4" cm="1">
        <f t="array" aca="1" ref="R218" ca="1">_xlfn._xlws.SORT(SUMPRODUCT($U$2:$W$2,O218:Q218))</f>
        <v>-3.9967921616725337E-3</v>
      </c>
      <c r="S218" s="4">
        <f ca="1"/>
        <v>1.8201974061637191E-2</v>
      </c>
    </row>
    <row r="219" spans="1:19" x14ac:dyDescent="0.25">
      <c r="A219" s="4">
        <f>IFERROR(Merged_data[[#This Row],[BTCUSD_Close]]/Merged_data!D218-1,"")</f>
        <v>-9.1323388044290965E-3</v>
      </c>
      <c r="B219" s="4">
        <f>IFERROR(Merged_data[[#This Row],[XAUUSD_Close]]/Merged_data!C218-1, "")</f>
        <v>-2.7530101594600564E-3</v>
      </c>
      <c r="C219" s="4">
        <f>IFERROR(Merged_data[[#This Row],[AAPL_Close]]/Merged_data!B218-1,"")</f>
        <v>-1.4839414831007258E-2</v>
      </c>
      <c r="D219" s="4">
        <f t="shared" si="24"/>
        <v>-8.2927301544149287E-3</v>
      </c>
      <c r="E219">
        <f t="shared" ca="1" si="25"/>
        <v>6.2617768109525865E-2</v>
      </c>
      <c r="F219">
        <f t="shared" ca="1" si="25"/>
        <v>1.4976715408352568</v>
      </c>
      <c r="G219">
        <f t="shared" ca="1" si="25"/>
        <v>1.3693436226543472</v>
      </c>
      <c r="H219">
        <f ca="1"/>
        <v>6.2617768109525865E-2</v>
      </c>
      <c r="I219">
        <f ca="1"/>
        <v>1.4988935146052347</v>
      </c>
      <c r="J219">
        <f ca="1"/>
        <v>1.3299743911213533</v>
      </c>
      <c r="K219">
        <v>217</v>
      </c>
      <c r="L219">
        <f t="shared" ca="1" si="26"/>
        <v>110161.6205675727</v>
      </c>
      <c r="M219">
        <f t="shared" ca="1" si="27"/>
        <v>4196.6098928002011</v>
      </c>
      <c r="N219">
        <f t="shared" ca="1" si="28"/>
        <v>268.51164622462113</v>
      </c>
      <c r="O219" s="4">
        <f t="shared" ca="1" si="29"/>
        <v>3.3105850261607318E-2</v>
      </c>
      <c r="P219" s="4">
        <f t="shared" ca="1" si="30"/>
        <v>2.4212281599401007E-2</v>
      </c>
      <c r="Q219" s="4">
        <f t="shared" ca="1" si="31"/>
        <v>4.5263508060841215E-2</v>
      </c>
      <c r="R219" s="4" cm="1">
        <f t="array" aca="1" ref="R219" ca="1">_xlfn._xlws.SORT(SUMPRODUCT($U$2:$W$2,O219:Q219))</f>
        <v>3.3195720136494966E-2</v>
      </c>
      <c r="S219" s="4">
        <f ca="1"/>
        <v>1.8512664934952287E-2</v>
      </c>
    </row>
    <row r="220" spans="1:19" x14ac:dyDescent="0.25">
      <c r="A220" s="4">
        <f>IFERROR(Merged_data[[#This Row],[BTCUSD_Close]]/Merged_data!D219-1,"")</f>
        <v>2.2969404071073063E-2</v>
      </c>
      <c r="B220" s="4">
        <f>IFERROR(Merged_data[[#This Row],[XAUUSD_Close]]/Merged_data!C219-1, "")</f>
        <v>4.0526639474243176E-3</v>
      </c>
      <c r="C220" s="4">
        <f>IFERROR(Merged_data[[#This Row],[AAPL_Close]]/Merged_data!B219-1,"")</f>
        <v>-3.2259441007040812E-2</v>
      </c>
      <c r="D220" s="4">
        <f t="shared" si="24"/>
        <v>-1.1659455018205988E-3</v>
      </c>
      <c r="E220">
        <f t="shared" ca="1" si="25"/>
        <v>0.28498841282408938</v>
      </c>
      <c r="F220">
        <f t="shared" ca="1" si="25"/>
        <v>2.3232276210517075</v>
      </c>
      <c r="G220">
        <f t="shared" ca="1" si="25"/>
        <v>1.0046404249124843</v>
      </c>
      <c r="H220">
        <f ca="1"/>
        <v>0.28498841282408938</v>
      </c>
      <c r="I220">
        <f ca="1"/>
        <v>2.3349861740505351</v>
      </c>
      <c r="J220">
        <f ca="1"/>
        <v>1.0361678287668534</v>
      </c>
      <c r="K220">
        <v>218</v>
      </c>
      <c r="L220">
        <f t="shared" ca="1" si="26"/>
        <v>110827.55417259602</v>
      </c>
      <c r="M220">
        <f t="shared" ca="1" si="27"/>
        <v>4239.6277036864421</v>
      </c>
      <c r="N220">
        <f t="shared" ca="1" si="28"/>
        <v>266.89043237149332</v>
      </c>
      <c r="O220" s="4">
        <f t="shared" ca="1" si="29"/>
        <v>6.0268619178672888E-3</v>
      </c>
      <c r="P220" s="4">
        <f t="shared" ca="1" si="30"/>
        <v>1.0198428681768821E-2</v>
      </c>
      <c r="Q220" s="4">
        <f t="shared" ca="1" si="31"/>
        <v>-6.0560796191127921E-3</v>
      </c>
      <c r="R220" s="4" cm="1">
        <f t="array" aca="1" ref="R220" ca="1">_xlfn._xlws.SORT(SUMPRODUCT($U$2:$W$2,O220:Q220))</f>
        <v>4.0706061623338782E-3</v>
      </c>
      <c r="S220" s="4">
        <f ca="1"/>
        <v>1.8831567636563844E-2</v>
      </c>
    </row>
    <row r="221" spans="1:19" x14ac:dyDescent="0.25">
      <c r="A221" s="4">
        <f>IFERROR(Merged_data[[#This Row],[BTCUSD_Close]]/Merged_data!D220-1,"")</f>
        <v>5.7956251811133175E-3</v>
      </c>
      <c r="B221" s="4">
        <f>IFERROR(Merged_data[[#This Row],[XAUUSD_Close]]/Merged_data!C220-1, "")</f>
        <v>-1.8320627460890471E-3</v>
      </c>
      <c r="C221" s="4">
        <f>IFERROR(Merged_data[[#This Row],[AAPL_Close]]/Merged_data!B220-1,"")</f>
        <v>1.4286344195070466E-2</v>
      </c>
      <c r="D221" s="4">
        <f t="shared" si="24"/>
        <v>5.2917657144195161E-3</v>
      </c>
      <c r="E221">
        <f t="shared" ca="1" si="25"/>
        <v>-1.2634378571769767</v>
      </c>
      <c r="F221">
        <f t="shared" ca="1" si="25"/>
        <v>-0.5720253896510058</v>
      </c>
      <c r="G221">
        <f t="shared" ca="1" si="25"/>
        <v>0.15493524859729904</v>
      </c>
      <c r="H221">
        <f ca="1"/>
        <v>-1.2634378571769767</v>
      </c>
      <c r="I221">
        <f ca="1"/>
        <v>-0.63757131721298399</v>
      </c>
      <c r="J221">
        <f ca="1"/>
        <v>-0.19071219874647902</v>
      </c>
      <c r="K221">
        <v>219</v>
      </c>
      <c r="L221">
        <f t="shared" ca="1" si="26"/>
        <v>106271.48766079641</v>
      </c>
      <c r="M221">
        <f t="shared" ca="1" si="27"/>
        <v>4088.6533377167516</v>
      </c>
      <c r="N221">
        <f t="shared" ca="1" si="28"/>
        <v>260.22636495990463</v>
      </c>
      <c r="O221" s="4">
        <f t="shared" ca="1" si="29"/>
        <v>-4.1978403099755549E-2</v>
      </c>
      <c r="P221" s="4">
        <f t="shared" ca="1" si="30"/>
        <v>-3.6259801098725106E-2</v>
      </c>
      <c r="Q221" s="4">
        <f t="shared" ca="1" si="31"/>
        <v>-2.5286321833031318E-2</v>
      </c>
      <c r="R221" s="4" cm="1">
        <f t="array" aca="1" ref="R221" ca="1">_xlfn._xlws.SORT(SUMPRODUCT($U$2:$W$2,O221:Q221))</f>
        <v>-3.4683337919326103E-2</v>
      </c>
      <c r="S221" s="4">
        <f ca="1"/>
        <v>1.930043247620776E-2</v>
      </c>
    </row>
    <row r="222" spans="1:19" x14ac:dyDescent="0.25">
      <c r="A222" s="4">
        <f>IFERROR(Merged_data[[#This Row],[BTCUSD_Close]]/Merged_data!D221-1,"")</f>
        <v>1.8098638891556496E-2</v>
      </c>
      <c r="B222" s="4">
        <f>IFERROR(Merged_data[[#This Row],[XAUUSD_Close]]/Merged_data!C221-1, "")</f>
        <v>2.7930385920884593E-3</v>
      </c>
      <c r="C222" s="4">
        <f>IFERROR(Merged_data[[#This Row],[AAPL_Close]]/Merged_data!B221-1,"")</f>
        <v>1.7562926574794524E-2</v>
      </c>
      <c r="D222" s="4">
        <f t="shared" si="24"/>
        <v>1.181568507674069E-2</v>
      </c>
      <c r="E222">
        <f t="shared" ca="1" si="25"/>
        <v>-1.2247329477853766</v>
      </c>
      <c r="F222">
        <f t="shared" ca="1" si="25"/>
        <v>-0.58336588222276986</v>
      </c>
      <c r="G222">
        <f t="shared" ca="1" si="25"/>
        <v>-1.4668109671611871</v>
      </c>
      <c r="H222">
        <f ca="1"/>
        <v>-1.2247329477853766</v>
      </c>
      <c r="I222">
        <f ca="1"/>
        <v>-0.64686402541472732</v>
      </c>
      <c r="J222">
        <f ca="1"/>
        <v>-1.7414402433421599</v>
      </c>
      <c r="K222">
        <v>220</v>
      </c>
      <c r="L222">
        <f t="shared" ca="1" si="26"/>
        <v>106382.89639275536</v>
      </c>
      <c r="M222">
        <f t="shared" ca="1" si="27"/>
        <v>4088.1886804707487</v>
      </c>
      <c r="N222">
        <f t="shared" ca="1" si="28"/>
        <v>252.04085483204668</v>
      </c>
      <c r="O222" s="4">
        <f t="shared" ca="1" si="29"/>
        <v>1.047791632864311E-3</v>
      </c>
      <c r="P222" s="4">
        <f t="shared" ca="1" si="30"/>
        <v>-1.1365200537553409E-4</v>
      </c>
      <c r="Q222" s="4">
        <f t="shared" ca="1" si="31"/>
        <v>-3.196068997394793E-2</v>
      </c>
      <c r="R222" s="4" cm="1">
        <f t="array" aca="1" ref="R222" ca="1">_xlfn._xlws.SORT(SUMPRODUCT($U$2:$W$2,O222:Q222))</f>
        <v>-9.3193303044752981E-3</v>
      </c>
      <c r="S222" s="4">
        <f ca="1"/>
        <v>1.9559318228800918E-2</v>
      </c>
    </row>
    <row r="223" spans="1:19" x14ac:dyDescent="0.25">
      <c r="A223" s="4">
        <f>IFERROR(Merged_data[[#This Row],[BTCUSD_Close]]/Merged_data!D222-1,"")</f>
        <v>-9.0042191198161925E-3</v>
      </c>
      <c r="B223" s="4">
        <f>IFERROR(Merged_data[[#This Row],[XAUUSD_Close]]/Merged_data!C222-1, "")</f>
        <v>9.6208068470728936E-3</v>
      </c>
      <c r="C223" s="4">
        <f>IFERROR(Merged_data[[#This Row],[AAPL_Close]]/Merged_data!B222-1,"")</f>
        <v>1.1235955056179803E-2</v>
      </c>
      <c r="D223" s="4">
        <f t="shared" si="24"/>
        <v>4.5178435197382408E-3</v>
      </c>
      <c r="E223">
        <f t="shared" ca="1" si="25"/>
        <v>-0.32505141906336693</v>
      </c>
      <c r="F223">
        <f t="shared" ca="1" si="25"/>
        <v>-0.31718638019789142</v>
      </c>
      <c r="G223">
        <f t="shared" ca="1" si="25"/>
        <v>0.11050213521947572</v>
      </c>
      <c r="H223">
        <f ca="1"/>
        <v>-0.32505141906336693</v>
      </c>
      <c r="I223">
        <f ca="1"/>
        <v>-0.3338152323446047</v>
      </c>
      <c r="J223">
        <f ca="1"/>
        <v>1.9532993140435911E-2</v>
      </c>
      <c r="K223">
        <v>221</v>
      </c>
      <c r="L223">
        <f t="shared" ca="1" si="26"/>
        <v>109009.2976621984</v>
      </c>
      <c r="M223">
        <f t="shared" ca="1" si="27"/>
        <v>4103.8284358217325</v>
      </c>
      <c r="N223">
        <f t="shared" ca="1" si="28"/>
        <v>261.35594278512343</v>
      </c>
      <c r="O223" s="4">
        <f t="shared" ca="1" si="29"/>
        <v>2.4388362446751785E-2</v>
      </c>
      <c r="P223" s="4">
        <f t="shared" ca="1" si="30"/>
        <v>3.8182963073595416E-3</v>
      </c>
      <c r="Q223" s="4">
        <f t="shared" ca="1" si="31"/>
        <v>3.629204697901952E-2</v>
      </c>
      <c r="R223" s="4" cm="1">
        <f t="array" aca="1" ref="R223" ca="1">_xlfn._xlws.SORT(SUMPRODUCT($U$2:$W$2,O223:Q223))</f>
        <v>1.9731441350675206E-2</v>
      </c>
      <c r="S223" s="4">
        <f ca="1"/>
        <v>1.9731441350675206E-2</v>
      </c>
    </row>
    <row r="224" spans="1:19" x14ac:dyDescent="0.25">
      <c r="A224" s="4">
        <f>IFERROR(Merged_data[[#This Row],[BTCUSD_Close]]/Merged_data!D223-1,"")</f>
        <v>1.1119572177705539E-2</v>
      </c>
      <c r="B224" s="4">
        <f>IFERROR(Merged_data[[#This Row],[XAUUSD_Close]]/Merged_data!C223-1, "")</f>
        <v>2.8701540669349157E-3</v>
      </c>
      <c r="C224" s="4">
        <f>IFERROR(Merged_data[[#This Row],[AAPL_Close]]/Merged_data!B223-1,"")</f>
        <v>6.1258977608789067E-3</v>
      </c>
      <c r="D224" s="4">
        <f t="shared" si="24"/>
        <v>6.3217026083493E-3</v>
      </c>
      <c r="E224">
        <f t="shared" ca="1" si="25"/>
        <v>0.78848205157773665</v>
      </c>
      <c r="F224">
        <f t="shared" ca="1" si="25"/>
        <v>-0.44619241137554372</v>
      </c>
      <c r="G224">
        <f t="shared" ca="1" si="25"/>
        <v>0.54520623023241577</v>
      </c>
      <c r="H224">
        <f ca="1"/>
        <v>0.78848205157773665</v>
      </c>
      <c r="I224">
        <f ca="1"/>
        <v>-0.40417893542539496</v>
      </c>
      <c r="J224">
        <f ca="1"/>
        <v>0.73976941509839012</v>
      </c>
      <c r="K224">
        <v>222</v>
      </c>
      <c r="L224">
        <f t="shared" ca="1" si="26"/>
        <v>112349.9935610496</v>
      </c>
      <c r="M224">
        <f t="shared" ca="1" si="27"/>
        <v>4100.3063966237378</v>
      </c>
      <c r="N224">
        <f t="shared" ca="1" si="28"/>
        <v>265.26415828595543</v>
      </c>
      <c r="O224" s="4">
        <f t="shared" ca="1" si="29"/>
        <v>3.0185763075274964E-2</v>
      </c>
      <c r="P224" s="4">
        <f t="shared" ca="1" si="30"/>
        <v>-8.5860105575910183E-4</v>
      </c>
      <c r="Q224" s="4">
        <f t="shared" ca="1" si="31"/>
        <v>1.4842909508537644E-2</v>
      </c>
      <c r="R224" s="4" cm="1">
        <f t="array" aca="1" ref="R224" ca="1">_xlfn._xlws.SORT(SUMPRODUCT($U$2:$W$2,O224:Q224))</f>
        <v>1.3165161352840141E-2</v>
      </c>
      <c r="S224" s="4">
        <f ca="1"/>
        <v>1.9783701756228095E-2</v>
      </c>
    </row>
    <row r="225" spans="1:19" x14ac:dyDescent="0.25">
      <c r="A225" s="4">
        <f>IFERROR(Merged_data[[#This Row],[BTCUSD_Close]]/Merged_data!D224-1,"")</f>
        <v>-6.4272082295651067E-3</v>
      </c>
      <c r="B225" s="4">
        <f>IFERROR(Merged_data[[#This Row],[XAUUSD_Close]]/Merged_data!C224-1, "")</f>
        <v>-8.1725186019314666E-3</v>
      </c>
      <c r="C225" s="4">
        <f>IFERROR(Merged_data[[#This Row],[AAPL_Close]]/Merged_data!B224-1,"")</f>
        <v>3.5271887465881946E-3</v>
      </c>
      <c r="D225" s="4">
        <f t="shared" si="24"/>
        <v>-4.1390132856656599E-3</v>
      </c>
      <c r="E225">
        <f t="shared" ca="1" si="25"/>
        <v>-2.0406557280725008E-2</v>
      </c>
      <c r="F225">
        <f t="shared" ca="1" si="25"/>
        <v>-0.95428958642240314</v>
      </c>
      <c r="G225">
        <f t="shared" ca="1" si="25"/>
        <v>1.1538317322459302</v>
      </c>
      <c r="H225">
        <f ca="1"/>
        <v>-2.0406557280725008E-2</v>
      </c>
      <c r="I225">
        <f ca="1"/>
        <v>-0.95404478895741718</v>
      </c>
      <c r="J225">
        <f ca="1"/>
        <v>1.1085900543499132</v>
      </c>
      <c r="K225">
        <v>223</v>
      </c>
      <c r="L225">
        <f t="shared" ca="1" si="26"/>
        <v>109912.98091758578</v>
      </c>
      <c r="M225">
        <f t="shared" ca="1" si="27"/>
        <v>4072.8951833463561</v>
      </c>
      <c r="N225">
        <f t="shared" ca="1" si="28"/>
        <v>267.28794815720829</v>
      </c>
      <c r="O225" s="4">
        <f t="shared" ca="1" si="29"/>
        <v>-2.1929971165727345E-2</v>
      </c>
      <c r="P225" s="4">
        <f t="shared" ca="1" si="30"/>
        <v>-6.7076079753783276E-3</v>
      </c>
      <c r="Q225" s="4">
        <f t="shared" ca="1" si="31"/>
        <v>7.6003815923801378E-3</v>
      </c>
      <c r="R225" s="4" cm="1">
        <f t="array" aca="1" ref="R225" ca="1">_xlfn._xlws.SORT(SUMPRODUCT($U$2:$W$2,O225:Q225))</f>
        <v>-6.9819200621554934E-3</v>
      </c>
      <c r="S225" s="4">
        <f ca="1"/>
        <v>2.0224809637680134E-2</v>
      </c>
    </row>
    <row r="226" spans="1:19" x14ac:dyDescent="0.25">
      <c r="A226" s="4">
        <f>IFERROR(Merged_data[[#This Row],[BTCUSD_Close]]/Merged_data!D225-1,"")</f>
        <v>1.0861700661521478E-2</v>
      </c>
      <c r="B226" s="4">
        <f>IFERROR(Merged_data[[#This Row],[XAUUSD_Close]]/Merged_data!C225-1, "")</f>
        <v>-4.1465713934393245E-3</v>
      </c>
      <c r="C226" s="4">
        <f>IFERROR(Merged_data[[#This Row],[AAPL_Close]]/Merged_data!B225-1,"")</f>
        <v>-4.6445457968953274E-3</v>
      </c>
      <c r="D226" s="4">
        <f t="shared" si="24"/>
        <v>2.0651790201211564E-4</v>
      </c>
      <c r="E226">
        <f t="shared" ca="1" si="25"/>
        <v>-0.28737056827870161</v>
      </c>
      <c r="F226">
        <f t="shared" ca="1" si="25"/>
        <v>-0.47789319157183274</v>
      </c>
      <c r="G226">
        <f t="shared" ca="1" si="25"/>
        <v>0.17564506892537574</v>
      </c>
      <c r="H226">
        <f ca="1"/>
        <v>-0.28737056827870161</v>
      </c>
      <c r="I226">
        <f ca="1"/>
        <v>-0.49232201108728285</v>
      </c>
      <c r="J226">
        <f ca="1"/>
        <v>9.3001724079549861E-2</v>
      </c>
      <c r="K226">
        <v>224</v>
      </c>
      <c r="L226">
        <f t="shared" ca="1" si="26"/>
        <v>109120.22507849979</v>
      </c>
      <c r="M226">
        <f t="shared" ca="1" si="27"/>
        <v>4095.8977649889434</v>
      </c>
      <c r="N226">
        <f t="shared" ca="1" si="28"/>
        <v>261.7513072055653</v>
      </c>
      <c r="O226" s="4">
        <f t="shared" ca="1" si="29"/>
        <v>-7.2387133915182544E-3</v>
      </c>
      <c r="P226" s="4">
        <f t="shared" ca="1" si="30"/>
        <v>5.6318338797024543E-3</v>
      </c>
      <c r="Q226" s="4">
        <f t="shared" ca="1" si="31"/>
        <v>-2.0931690962587738E-2</v>
      </c>
      <c r="R226" s="4" cm="1">
        <f t="array" aca="1" ref="R226" ca="1">_xlfn._xlws.SORT(SUMPRODUCT($U$2:$W$2,O226:Q226))</f>
        <v>-6.1983877543508158E-3</v>
      </c>
      <c r="S226" s="4">
        <f ca="1"/>
        <v>2.051870786734564E-2</v>
      </c>
    </row>
    <row r="227" spans="1:19" x14ac:dyDescent="0.25">
      <c r="A227" s="4">
        <f>IFERROR(Merged_data[[#This Row],[BTCUSD_Close]]/Merged_data!D226-1,"")</f>
        <v>-1.8294605349489124E-2</v>
      </c>
      <c r="B227" s="4">
        <f>IFERROR(Merged_data[[#This Row],[XAUUSD_Close]]/Merged_data!C226-1, "")</f>
        <v>1.0967286097449014E-2</v>
      </c>
      <c r="C227" s="4">
        <f>IFERROR(Merged_data[[#This Row],[AAPL_Close]]/Merged_data!B226-1,"")</f>
        <v>3.2032957793845629E-2</v>
      </c>
      <c r="D227" s="4">
        <f t="shared" si="24"/>
        <v>8.5084201722865575E-3</v>
      </c>
      <c r="E227">
        <f t="shared" ca="1" si="25"/>
        <v>0.19028580790098545</v>
      </c>
      <c r="F227">
        <f t="shared" ca="1" si="25"/>
        <v>-0.48925116355265202</v>
      </c>
      <c r="G227">
        <f t="shared" ca="1" si="25"/>
        <v>-0.27481010503522696</v>
      </c>
      <c r="H227">
        <f ca="1"/>
        <v>0.19028580790098545</v>
      </c>
      <c r="I227">
        <f ca="1"/>
        <v>-0.47858568990818362</v>
      </c>
      <c r="J227">
        <f ca="1"/>
        <v>-0.21136313329095707</v>
      </c>
      <c r="K227">
        <v>225</v>
      </c>
      <c r="L227">
        <f t="shared" ca="1" si="26"/>
        <v>110542.24604302229</v>
      </c>
      <c r="M227">
        <f t="shared" ca="1" si="27"/>
        <v>4096.5828939569847</v>
      </c>
      <c r="N227">
        <f t="shared" ca="1" si="28"/>
        <v>260.11430325364773</v>
      </c>
      <c r="O227" s="4">
        <f t="shared" ca="1" si="29"/>
        <v>1.2947508262097602E-2</v>
      </c>
      <c r="P227" s="4">
        <f t="shared" ca="1" si="30"/>
        <v>1.6725800112580286E-4</v>
      </c>
      <c r="Q227" s="4">
        <f t="shared" ca="1" si="31"/>
        <v>-6.2736815316151145E-3</v>
      </c>
      <c r="R227" s="4" cm="1">
        <f t="array" aca="1" ref="R227" ca="1">_xlfn._xlws.SORT(SUMPRODUCT($U$2:$W$2,O227:Q227))</f>
        <v>2.0690512195950675E-3</v>
      </c>
      <c r="S227" s="4">
        <f ca="1"/>
        <v>2.1176705778733984E-2</v>
      </c>
    </row>
    <row r="228" spans="1:19" x14ac:dyDescent="0.25">
      <c r="A228" s="4">
        <f>IFERROR(Merged_data[[#This Row],[BTCUSD_Close]]/Merged_data!D227-1,"")</f>
        <v>-1.8757052339206659E-2</v>
      </c>
      <c r="B228" s="4">
        <f>IFERROR(Merged_data[[#This Row],[XAUUSD_Close]]/Merged_data!C227-1, "")</f>
        <v>1.6842428099754558E-2</v>
      </c>
      <c r="C228" s="4">
        <f>IFERROR(Merged_data[[#This Row],[AAPL_Close]]/Merged_data!B227-1,"")</f>
        <v>4.3095723014256571E-2</v>
      </c>
      <c r="D228" s="4">
        <f t="shared" si="24"/>
        <v>1.4038572442416797E-2</v>
      </c>
      <c r="E228">
        <f t="shared" ca="1" si="25"/>
        <v>-1.7619227199813456</v>
      </c>
      <c r="F228">
        <f t="shared" ca="1" si="25"/>
        <v>-0.74153759516117723</v>
      </c>
      <c r="G228">
        <f t="shared" ca="1" si="25"/>
        <v>-2.0627141648627986E-2</v>
      </c>
      <c r="H228">
        <f ca="1"/>
        <v>-1.7619227199813456</v>
      </c>
      <c r="I228">
        <f ca="1"/>
        <v>-0.83302191724704711</v>
      </c>
      <c r="J228">
        <f ca="1"/>
        <v>-0.49401374501747003</v>
      </c>
      <c r="K228">
        <v>226</v>
      </c>
      <c r="L228">
        <f t="shared" ca="1" si="26"/>
        <v>104843.95080754046</v>
      </c>
      <c r="M228">
        <f t="shared" ca="1" si="27"/>
        <v>4078.9085667830759</v>
      </c>
      <c r="N228">
        <f t="shared" ca="1" si="28"/>
        <v>258.60324174884988</v>
      </c>
      <c r="O228" s="4">
        <f t="shared" ca="1" si="29"/>
        <v>-5.2924703117517499E-2</v>
      </c>
      <c r="P228" s="4">
        <f t="shared" ca="1" si="30"/>
        <v>-4.3237412193549828E-3</v>
      </c>
      <c r="Q228" s="4">
        <f t="shared" ca="1" si="31"/>
        <v>-5.8261602818757297E-3</v>
      </c>
      <c r="R228" s="4" cm="1">
        <f t="array" aca="1" ref="R228" ca="1">_xlfn._xlws.SORT(SUMPRODUCT($U$2:$W$2,O228:Q228))</f>
        <v>-1.9354755507559961E-2</v>
      </c>
      <c r="S228" s="4">
        <f ca="1"/>
        <v>2.2011087664737784E-2</v>
      </c>
    </row>
    <row r="229" spans="1:19" x14ac:dyDescent="0.25">
      <c r="A229" s="4">
        <f>IFERROR(Merged_data[[#This Row],[BTCUSD_Close]]/Merged_data!D228-1,"")</f>
        <v>-7.3596405098673712E-3</v>
      </c>
      <c r="B229" s="4">
        <f>IFERROR(Merged_data[[#This Row],[XAUUSD_Close]]/Merged_data!C228-1, "")</f>
        <v>4.8525290270919896E-3</v>
      </c>
      <c r="C229" s="4">
        <f>IFERROR(Merged_data[[#This Row],[AAPL_Close]]/Merged_data!B228-1,"")</f>
        <v>-6.443298969072031E-3</v>
      </c>
      <c r="D229" s="4">
        <f t="shared" si="24"/>
        <v>-2.1998702328450245E-3</v>
      </c>
      <c r="E229">
        <f t="shared" ca="1" si="25"/>
        <v>1.424352237150827</v>
      </c>
      <c r="F229">
        <f t="shared" ca="1" si="25"/>
        <v>0.16068388306199047</v>
      </c>
      <c r="G229">
        <f t="shared" ca="1" si="25"/>
        <v>1.0872211361456661</v>
      </c>
      <c r="H229">
        <f ca="1"/>
        <v>1.424352237150827</v>
      </c>
      <c r="I229">
        <f ca="1"/>
        <v>0.23524572411254924</v>
      </c>
      <c r="J229">
        <f ca="1"/>
        <v>1.4314999013814895</v>
      </c>
      <c r="K229">
        <v>227</v>
      </c>
      <c r="L229">
        <f t="shared" ca="1" si="26"/>
        <v>114302.63571051304</v>
      </c>
      <c r="M229">
        <f t="shared" ca="1" si="27"/>
        <v>4132.4066565708308</v>
      </c>
      <c r="N229">
        <f t="shared" ca="1" si="28"/>
        <v>269.07177241865668</v>
      </c>
      <c r="O229" s="4">
        <f t="shared" ca="1" si="29"/>
        <v>8.6376568212297014E-2</v>
      </c>
      <c r="P229" s="4">
        <f t="shared" ca="1" si="30"/>
        <v>1.3030518328293187E-2</v>
      </c>
      <c r="Q229" s="4">
        <f t="shared" ca="1" si="31"/>
        <v>3.9683153954857463E-2</v>
      </c>
      <c r="R229" s="4" cm="1">
        <f t="array" aca="1" ref="R229" ca="1">_xlfn._xlws.SORT(SUMPRODUCT($U$2:$W$2,O229:Q229))</f>
        <v>4.3030123981463622E-2</v>
      </c>
      <c r="S229" s="4">
        <f ca="1"/>
        <v>2.2914211228049076E-2</v>
      </c>
    </row>
    <row r="230" spans="1:19" x14ac:dyDescent="0.25">
      <c r="A230" s="4">
        <f>IFERROR(Merged_data[[#This Row],[BTCUSD_Close]]/Merged_data!D229-1,"")</f>
        <v>1.0604453870625585E-2</v>
      </c>
      <c r="B230" s="4">
        <f>IFERROR(Merged_data[[#This Row],[XAUUSD_Close]]/Merged_data!C229-1, "")</f>
        <v>-7.582317753434431E-3</v>
      </c>
      <c r="C230" s="4">
        <f>IFERROR(Merged_data[[#This Row],[AAPL_Close]]/Merged_data!B229-1,"")</f>
        <v>-8.3323507448020973E-3</v>
      </c>
      <c r="D230" s="4">
        <f t="shared" si="24"/>
        <v>-2.351296163626726E-3</v>
      </c>
      <c r="E230">
        <f t="shared" ca="1" si="25"/>
        <v>0.41845629366396125</v>
      </c>
      <c r="F230">
        <f t="shared" ca="1" si="25"/>
        <v>-0.38559053883670813</v>
      </c>
      <c r="G230">
        <f t="shared" ca="1" si="25"/>
        <v>-0.45040400432209637</v>
      </c>
      <c r="H230">
        <f ca="1"/>
        <v>0.41845629366396125</v>
      </c>
      <c r="I230">
        <f ca="1"/>
        <v>-0.36308829289414746</v>
      </c>
      <c r="J230">
        <f ca="1"/>
        <v>-0.31902877771656218</v>
      </c>
      <c r="K230">
        <v>228</v>
      </c>
      <c r="L230">
        <f t="shared" ca="1" si="26"/>
        <v>111227.63929490736</v>
      </c>
      <c r="M230">
        <f t="shared" ca="1" si="27"/>
        <v>4102.3547420270697</v>
      </c>
      <c r="N230">
        <f t="shared" ca="1" si="28"/>
        <v>259.5371003520529</v>
      </c>
      <c r="O230" s="4">
        <f t="shared" ca="1" si="29"/>
        <v>-2.7270724377267141E-2</v>
      </c>
      <c r="P230" s="4">
        <f t="shared" ca="1" si="30"/>
        <v>-7.2988266451545197E-3</v>
      </c>
      <c r="Q230" s="4">
        <f t="shared" ca="1" si="31"/>
        <v>-3.6078494990856441E-2</v>
      </c>
      <c r="R230" s="4" cm="1">
        <f t="array" aca="1" ref="R230" ca="1">_xlfn._xlws.SORT(SUMPRODUCT($U$2:$W$2,O230:Q230))</f>
        <v>-2.1924296468498881E-2</v>
      </c>
      <c r="S230" s="4">
        <f ca="1"/>
        <v>2.3043458108817225E-2</v>
      </c>
    </row>
    <row r="231" spans="1:19" x14ac:dyDescent="0.25">
      <c r="A231" s="4">
        <f>IFERROR(Merged_data[[#This Row],[BTCUSD_Close]]/Merged_data!D230-1,"")</f>
        <v>-3.4742123502076616E-2</v>
      </c>
      <c r="B231" s="4">
        <f>IFERROR(Merged_data[[#This Row],[XAUUSD_Close]]/Merged_data!C230-1, "")</f>
        <v>3.5437691625168632E-3</v>
      </c>
      <c r="C231" s="4">
        <f>IFERROR(Merged_data[[#This Row],[AAPL_Close]]/Merged_data!B230-1,"")</f>
        <v>1.807300542982837E-2</v>
      </c>
      <c r="D231" s="4">
        <f t="shared" si="24"/>
        <v>-3.5832277566677281E-3</v>
      </c>
      <c r="E231">
        <f t="shared" ca="1" si="25"/>
        <v>0.55312843005674139</v>
      </c>
      <c r="F231">
        <f t="shared" ca="1" si="25"/>
        <v>1.1295969552682437</v>
      </c>
      <c r="G231">
        <f t="shared" ca="1" si="25"/>
        <v>-4.6608531571881578E-2</v>
      </c>
      <c r="H231">
        <f ca="1"/>
        <v>0.55312843005674139</v>
      </c>
      <c r="I231">
        <f ca="1"/>
        <v>1.1570801218610272</v>
      </c>
      <c r="J231">
        <f ca="1"/>
        <v>0.10085658708630368</v>
      </c>
      <c r="K231">
        <v>229</v>
      </c>
      <c r="L231">
        <f t="shared" ca="1" si="26"/>
        <v>111634.29577763357</v>
      </c>
      <c r="M231">
        <f t="shared" ca="1" si="27"/>
        <v>4179.1337053631023</v>
      </c>
      <c r="N231">
        <f t="shared" ca="1" si="28"/>
        <v>261.7925678923487</v>
      </c>
      <c r="O231" s="4">
        <f t="shared" ca="1" si="29"/>
        <v>3.6494068304705088E-3</v>
      </c>
      <c r="P231" s="4">
        <f t="shared" ca="1" si="30"/>
        <v>1.8542841366020142E-2</v>
      </c>
      <c r="Q231" s="4">
        <f t="shared" ca="1" si="31"/>
        <v>8.6528035908694876E-3</v>
      </c>
      <c r="R231" s="4" cm="1">
        <f t="array" aca="1" ref="R231" ca="1">_xlfn._xlws.SORT(SUMPRODUCT($U$2:$W$2,O231:Q231))</f>
        <v>1.1107799672810057E-2</v>
      </c>
      <c r="S231" s="4">
        <f ca="1"/>
        <v>2.5612909598836251E-2</v>
      </c>
    </row>
    <row r="232" spans="1:19" x14ac:dyDescent="0.25">
      <c r="A232" s="4">
        <f>IFERROR(Merged_data[[#This Row],[BTCUSD_Close]]/Merged_data!D231-1,"")</f>
        <v>-2.2289822503585022E-3</v>
      </c>
      <c r="B232" s="4">
        <f>IFERROR(Merged_data[[#This Row],[XAUUSD_Close]]/Merged_data!C231-1, "")</f>
        <v>4.6247707951325712E-3</v>
      </c>
      <c r="C232" s="4">
        <f>IFERROR(Merged_data[[#This Row],[AAPL_Close]]/Merged_data!B231-1,"")</f>
        <v>-5.4891579398138601E-3</v>
      </c>
      <c r="D232" s="4">
        <f t="shared" si="24"/>
        <v>-4.6553373899868014E-4</v>
      </c>
      <c r="E232">
        <f t="shared" ca="1" si="25"/>
        <v>0.6800140578596866</v>
      </c>
      <c r="F232">
        <f t="shared" ca="1" si="25"/>
        <v>-0.85189170065705444</v>
      </c>
      <c r="G232">
        <f t="shared" ca="1" si="25"/>
        <v>-0.55021296336980929</v>
      </c>
      <c r="H232">
        <f ca="1"/>
        <v>0.6800140578596866</v>
      </c>
      <c r="I232">
        <f ca="1"/>
        <v>-0.81501360851405502</v>
      </c>
      <c r="J232">
        <f ca="1"/>
        <v>-0.34271511191270809</v>
      </c>
      <c r="K232">
        <v>230</v>
      </c>
      <c r="L232">
        <f t="shared" ca="1" si="26"/>
        <v>112018.7907443224</v>
      </c>
      <c r="M232">
        <f t="shared" ca="1" si="27"/>
        <v>4079.7997902796715</v>
      </c>
      <c r="N232">
        <f t="shared" ca="1" si="28"/>
        <v>259.40999179271193</v>
      </c>
      <c r="O232" s="4">
        <f t="shared" ca="1" si="29"/>
        <v>3.4383191527640237E-3</v>
      </c>
      <c r="P232" s="4">
        <f t="shared" ca="1" si="30"/>
        <v>-2.4056061334976436E-2</v>
      </c>
      <c r="Q232" s="4">
        <f t="shared" ca="1" si="31"/>
        <v>-9.1426745769752592E-3</v>
      </c>
      <c r="R232" s="4" cm="1">
        <f t="array" aca="1" ref="R232" ca="1">_xlfn._xlws.SORT(SUMPRODUCT($U$2:$W$2,O232:Q232))</f>
        <v>-1.1333731161253944E-2</v>
      </c>
      <c r="S232" s="4">
        <f ca="1"/>
        <v>2.6659760275082739E-2</v>
      </c>
    </row>
    <row r="233" spans="1:19" x14ac:dyDescent="0.25">
      <c r="A233" s="4">
        <f>IFERROR(Merged_data[[#This Row],[BTCUSD_Close]]/Merged_data!D232-1,"")</f>
        <v>4.6189905056627234E-2</v>
      </c>
      <c r="B233" s="4">
        <f>IFERROR(Merged_data[[#This Row],[XAUUSD_Close]]/Merged_data!C232-1, "")</f>
        <v>1.7719684127947E-2</v>
      </c>
      <c r="C233" s="4">
        <f>IFERROR(Merged_data[[#This Row],[AAPL_Close]]/Merged_data!B232-1,"")</f>
        <v>-4.0319423784546116E-3</v>
      </c>
      <c r="D233" s="4">
        <f t="shared" si="24"/>
        <v>1.9735262454630587E-2</v>
      </c>
      <c r="E233">
        <f t="shared" ca="1" si="25"/>
        <v>-4.2123165135820463E-2</v>
      </c>
      <c r="F233">
        <f t="shared" ca="1" si="25"/>
        <v>-0.47365945369008533</v>
      </c>
      <c r="G233">
        <f t="shared" ca="1" si="25"/>
        <v>-0.95106780582741091</v>
      </c>
      <c r="H233">
        <f ca="1"/>
        <v>-4.2123165135820463E-2</v>
      </c>
      <c r="I233">
        <f ca="1"/>
        <v>-0.47521776764003809</v>
      </c>
      <c r="J233">
        <f ca="1"/>
        <v>-0.92533008806156247</v>
      </c>
      <c r="K233">
        <v>231</v>
      </c>
      <c r="L233">
        <f t="shared" ca="1" si="26"/>
        <v>109846.99464205421</v>
      </c>
      <c r="M233">
        <f t="shared" ca="1" si="27"/>
        <v>4096.7438498336242</v>
      </c>
      <c r="N233">
        <f t="shared" ca="1" si="28"/>
        <v>256.3135483769143</v>
      </c>
      <c r="O233" s="4">
        <f t="shared" ca="1" si="29"/>
        <v>-1.9578192012291159E-2</v>
      </c>
      <c r="P233" s="4">
        <f t="shared" ca="1" si="30"/>
        <v>4.1445590103256352E-3</v>
      </c>
      <c r="Q233" s="4">
        <f t="shared" ca="1" si="31"/>
        <v>-1.2008296628882132E-2</v>
      </c>
      <c r="R233" s="4" cm="1">
        <f t="array" aca="1" ref="R233" ca="1">_xlfn._xlws.SORT(SUMPRODUCT($U$2:$W$2,O233:Q233))</f>
        <v>-7.8181229882217321E-3</v>
      </c>
      <c r="S233" s="4">
        <f ca="1"/>
        <v>2.8006112685946383E-2</v>
      </c>
    </row>
    <row r="234" spans="1:19" x14ac:dyDescent="0.25">
      <c r="A234" s="4">
        <f>IFERROR(Merged_data[[#This Row],[BTCUSD_Close]]/Merged_data!D233-1,"")</f>
        <v>-3.1504883256905369E-4</v>
      </c>
      <c r="B234" s="4">
        <f>IFERROR(Merged_data[[#This Row],[XAUUSD_Close]]/Merged_data!C233-1, "")</f>
        <v>6.5893474824310072E-3</v>
      </c>
      <c r="C234" s="4">
        <f>IFERROR(Merged_data[[#This Row],[AAPL_Close]]/Merged_data!B233-1,"")</f>
        <v>7.8607082498138858E-4</v>
      </c>
      <c r="D234" s="4">
        <f t="shared" si="24"/>
        <v>2.7770455906961037E-3</v>
      </c>
      <c r="E234">
        <f t="shared" ca="1" si="25"/>
        <v>1.5201936033200718</v>
      </c>
      <c r="F234">
        <f t="shared" ca="1" si="25"/>
        <v>-1.6519002205390212</v>
      </c>
      <c r="G234">
        <f t="shared" ca="1" si="25"/>
        <v>-1.0827346892144563</v>
      </c>
      <c r="H234">
        <f ca="1"/>
        <v>1.5201936033200718</v>
      </c>
      <c r="I234">
        <f ca="1"/>
        <v>-1.5698063492783483</v>
      </c>
      <c r="J234">
        <f ca="1"/>
        <v>-0.62524227765253126</v>
      </c>
      <c r="K234">
        <v>232</v>
      </c>
      <c r="L234">
        <f t="shared" ca="1" si="26"/>
        <v>114599.15772810373</v>
      </c>
      <c r="M234">
        <f t="shared" ca="1" si="27"/>
        <v>4042.4069501745698</v>
      </c>
      <c r="N234">
        <f t="shared" ca="1" si="28"/>
        <v>257.90345796733084</v>
      </c>
      <c r="O234" s="4">
        <f t="shared" ca="1" si="29"/>
        <v>4.2352014873009644E-2</v>
      </c>
      <c r="P234" s="4">
        <f t="shared" ca="1" si="30"/>
        <v>-1.335218089954401E-2</v>
      </c>
      <c r="Q234" s="4">
        <f t="shared" ca="1" si="31"/>
        <v>6.1838275952475971E-3</v>
      </c>
      <c r="R234" s="4" cm="1">
        <f t="array" aca="1" ref="R234" ca="1">_xlfn._xlws.SORT(SUMPRODUCT($U$2:$W$2,O234:Q234))</f>
        <v>9.2198803806595678E-3</v>
      </c>
      <c r="S234" s="4">
        <f ca="1"/>
        <v>2.8088746092744341E-2</v>
      </c>
    </row>
    <row r="235" spans="1:19" x14ac:dyDescent="0.25">
      <c r="A235" s="4">
        <f>IFERROR(Merged_data[[#This Row],[BTCUSD_Close]]/Merged_data!D234-1,"")</f>
        <v>2.9807759647034082E-2</v>
      </c>
      <c r="B235" s="4">
        <f>IFERROR(Merged_data[[#This Row],[XAUUSD_Close]]/Merged_data!C234-1, "")</f>
        <v>1.8205518928557929E-3</v>
      </c>
      <c r="C235" s="4">
        <f>IFERROR(Merged_data[[#This Row],[AAPL_Close]]/Merged_data!B234-1,"")</f>
        <v>3.2203589522050713E-3</v>
      </c>
      <c r="D235" s="4">
        <f t="shared" si="24"/>
        <v>1.0636656336914064E-2</v>
      </c>
      <c r="E235">
        <f t="shared" ca="1" si="25"/>
        <v>-0.55132811149765615</v>
      </c>
      <c r="F235">
        <f t="shared" ca="1" si="25"/>
        <v>1.7202525443292731</v>
      </c>
      <c r="G235">
        <f t="shared" ca="1" si="25"/>
        <v>1.2019484243111764</v>
      </c>
      <c r="H235">
        <f ca="1"/>
        <v>-0.55132811149765615</v>
      </c>
      <c r="I235">
        <f ca="1"/>
        <v>1.6889332187587791</v>
      </c>
      <c r="J235">
        <f ca="1"/>
        <v>1.001926273017695</v>
      </c>
      <c r="K235">
        <v>233</v>
      </c>
      <c r="L235">
        <f t="shared" ca="1" si="26"/>
        <v>108340.73788133026</v>
      </c>
      <c r="M235">
        <f t="shared" ca="1" si="27"/>
        <v>4206.329314207519</v>
      </c>
      <c r="N235">
        <f t="shared" ca="1" si="28"/>
        <v>266.69874113062258</v>
      </c>
      <c r="O235" s="4">
        <f t="shared" ca="1" si="29"/>
        <v>-5.6159213586410461E-2</v>
      </c>
      <c r="P235" s="4">
        <f t="shared" ca="1" si="30"/>
        <v>3.9750076195367634E-2</v>
      </c>
      <c r="Q235" s="4">
        <f t="shared" ca="1" si="31"/>
        <v>3.3534390038158141E-2</v>
      </c>
      <c r="R235" s="4" cm="1">
        <f t="array" aca="1" ref="R235" ca="1">_xlfn._xlws.SORT(SUMPRODUCT($U$2:$W$2,O235:Q235))</f>
        <v>9.1125834136713598E-3</v>
      </c>
      <c r="S235" s="4">
        <f ca="1"/>
        <v>2.849972663295151E-2</v>
      </c>
    </row>
    <row r="236" spans="1:19" x14ac:dyDescent="0.25">
      <c r="A236" s="4">
        <f>IFERROR(Merged_data[[#This Row],[BTCUSD_Close]]/Merged_data!D235-1,"")</f>
        <v>2.2178396252879651E-2</v>
      </c>
      <c r="B236" s="4">
        <f>IFERROR(Merged_data[[#This Row],[XAUUSD_Close]]/Merged_data!C235-1, "")</f>
        <v>-2.36435667639745E-3</v>
      </c>
      <c r="C236" s="4">
        <f>IFERROR(Merged_data[[#This Row],[AAPL_Close]]/Merged_data!B235-1,"")</f>
        <v>6.5766294773927925E-3</v>
      </c>
      <c r="D236" s="4">
        <f t="shared" si="24"/>
        <v>7.6807650485227526E-3</v>
      </c>
      <c r="E236">
        <f t="shared" ca="1" si="25"/>
        <v>-1.2041479556350883</v>
      </c>
      <c r="F236">
        <f t="shared" ca="1" si="25"/>
        <v>0.2124235022445746</v>
      </c>
      <c r="G236">
        <f t="shared" ca="1" si="25"/>
        <v>0.3467678942216319</v>
      </c>
      <c r="H236">
        <f ca="1"/>
        <v>-1.2041479556350883</v>
      </c>
      <c r="I236">
        <f ca="1"/>
        <v>0.14890854295018932</v>
      </c>
      <c r="J236">
        <f ca="1"/>
        <v>7.2701099118162027E-3</v>
      </c>
      <c r="K236">
        <v>234</v>
      </c>
      <c r="L236">
        <f t="shared" ca="1" si="26"/>
        <v>106440.08050422915</v>
      </c>
      <c r="M236">
        <f t="shared" ca="1" si="27"/>
        <v>4128.048277589276</v>
      </c>
      <c r="N236">
        <f t="shared" ca="1" si="28"/>
        <v>261.28700077029674</v>
      </c>
      <c r="O236" s="4">
        <f t="shared" ca="1" si="29"/>
        <v>-1.7699038556151889E-2</v>
      </c>
      <c r="P236" s="4">
        <f t="shared" ca="1" si="30"/>
        <v>-1.8785647244999058E-2</v>
      </c>
      <c r="Q236" s="4">
        <f t="shared" ca="1" si="31"/>
        <v>-2.0500288013446173E-2</v>
      </c>
      <c r="R236" s="4" cm="1">
        <f t="array" aca="1" ref="R236" ca="1">_xlfn._xlws.SORT(SUMPRODUCT($U$2:$W$2,O236:Q236))</f>
        <v>-1.8974056868879041E-2</v>
      </c>
      <c r="S236" s="4">
        <f ca="1"/>
        <v>2.9200001668622459E-2</v>
      </c>
    </row>
    <row r="237" spans="1:19" x14ac:dyDescent="0.25">
      <c r="A237" s="4">
        <f>IFERROR(Merged_data[[#This Row],[BTCUSD_Close]]/Merged_data!D236-1,"")</f>
        <v>2.0233521281373124E-2</v>
      </c>
      <c r="B237" s="4">
        <f>IFERROR(Merged_data[[#This Row],[XAUUSD_Close]]/Merged_data!C236-1, "")</f>
        <v>7.6025416136731305E-3</v>
      </c>
      <c r="C237" s="4">
        <f>IFERROR(Merged_data[[#This Row],[AAPL_Close]]/Merged_data!B236-1,"")</f>
        <v>3.4612841753198786E-3</v>
      </c>
      <c r="D237" s="4">
        <f t="shared" si="24"/>
        <v>1.0149458282477153E-2</v>
      </c>
      <c r="E237">
        <f t="shared" ca="1" si="25"/>
        <v>0.33426311501027794</v>
      </c>
      <c r="F237">
        <f t="shared" ca="1" si="25"/>
        <v>-1.2175215092959077</v>
      </c>
      <c r="G237">
        <f t="shared" ca="1" si="25"/>
        <v>0.87265434653074558</v>
      </c>
      <c r="H237">
        <f ca="1"/>
        <v>0.33426311501027794</v>
      </c>
      <c r="I237">
        <f ca="1"/>
        <v>-1.1982922505155935</v>
      </c>
      <c r="J237">
        <f ca="1"/>
        <v>0.93478802033163555</v>
      </c>
      <c r="K237">
        <v>235</v>
      </c>
      <c r="L237">
        <f t="shared" ca="1" si="26"/>
        <v>110972.91337443578</v>
      </c>
      <c r="M237">
        <f t="shared" ca="1" si="27"/>
        <v>4060.7640992644301</v>
      </c>
      <c r="N237">
        <f t="shared" ca="1" si="28"/>
        <v>266.32951350109846</v>
      </c>
      <c r="O237" s="4">
        <f t="shared" ca="1" si="29"/>
        <v>4.170394543642502E-2</v>
      </c>
      <c r="P237" s="4">
        <f t="shared" ca="1" si="30"/>
        <v>-1.6433565568139994E-2</v>
      </c>
      <c r="Q237" s="4">
        <f t="shared" ca="1" si="31"/>
        <v>1.9114891703320654E-2</v>
      </c>
      <c r="R237" s="4" cm="1">
        <f t="array" aca="1" ref="R237" ca="1">_xlfn._xlws.SORT(SUMPRODUCT($U$2:$W$2,O237:Q237))</f>
        <v>1.1672224914667703E-2</v>
      </c>
      <c r="S237" s="4">
        <f ca="1"/>
        <v>3.1104906082493607E-2</v>
      </c>
    </row>
    <row r="238" spans="1:19" x14ac:dyDescent="0.25">
      <c r="A238" s="4">
        <f>IFERROR(Merged_data[[#This Row],[BTCUSD_Close]]/Merged_data!D237-1,"")</f>
        <v>2.0329477742726976E-2</v>
      </c>
      <c r="B238" s="4">
        <f>IFERROR(Merged_data[[#This Row],[XAUUSD_Close]]/Merged_data!C237-1, "")</f>
        <v>1.907653904797435E-2</v>
      </c>
      <c r="C238" s="4">
        <f>IFERROR(Merged_data[[#This Row],[AAPL_Close]]/Merged_data!B237-1,"")</f>
        <v>-5.1546391752577136E-3</v>
      </c>
      <c r="D238" s="4">
        <f t="shared" si="24"/>
        <v>1.2183067189430519E-2</v>
      </c>
      <c r="E238">
        <f t="shared" ca="1" si="25"/>
        <v>0.16497740230669078</v>
      </c>
      <c r="F238">
        <f t="shared" ca="1" si="25"/>
        <v>1.0211405569871503</v>
      </c>
      <c r="G238">
        <f t="shared" ca="1" si="25"/>
        <v>-1.7312804272289533</v>
      </c>
      <c r="H238">
        <f ca="1"/>
        <v>0.16497740230669078</v>
      </c>
      <c r="I238">
        <f ca="1"/>
        <v>1.0283940288440552</v>
      </c>
      <c r="J238">
        <f ca="1"/>
        <v>-1.6256097490740278</v>
      </c>
      <c r="K238">
        <v>236</v>
      </c>
      <c r="L238">
        <f t="shared" ca="1" si="26"/>
        <v>110464.63625278158</v>
      </c>
      <c r="M238">
        <f t="shared" ca="1" si="27"/>
        <v>4172.5700397485089</v>
      </c>
      <c r="N238">
        <f t="shared" ca="1" si="28"/>
        <v>252.63980195110472</v>
      </c>
      <c r="O238" s="4">
        <f t="shared" ca="1" si="29"/>
        <v>-4.5907120554384822E-3</v>
      </c>
      <c r="P238" s="4">
        <f t="shared" ca="1" si="30"/>
        <v>2.7161004756981581E-2</v>
      </c>
      <c r="Q238" s="4">
        <f t="shared" ca="1" si="31"/>
        <v>-5.276954810694752E-2</v>
      </c>
      <c r="R238" s="4" cm="1">
        <f t="array" aca="1" ref="R238" ca="1">_xlfn._xlws.SORT(SUMPRODUCT($U$2:$W$2,O238:Q238))</f>
        <v>-6.3436761459231654E-3</v>
      </c>
      <c r="S238" s="4">
        <f ca="1"/>
        <v>3.1503200421823141E-2</v>
      </c>
    </row>
    <row r="239" spans="1:19" x14ac:dyDescent="0.25">
      <c r="A239" s="4">
        <f>IFERROR(Merged_data[[#This Row],[BTCUSD_Close]]/Merged_data!D238-1,"")</f>
        <v>-2.4542033825185938E-2</v>
      </c>
      <c r="B239" s="4">
        <f>IFERROR(Merged_data[[#This Row],[XAUUSD_Close]]/Merged_data!C238-1, "")</f>
        <v>6.2600140654611725E-3</v>
      </c>
      <c r="C239" s="4">
        <f>IFERROR(Merged_data[[#This Row],[AAPL_Close]]/Merged_data!B238-1,"")</f>
        <v>-8.1810744477761599E-4</v>
      </c>
      <c r="D239" s="4">
        <f t="shared" si="24"/>
        <v>-5.1040367548045975E-3</v>
      </c>
      <c r="E239">
        <f t="shared" ca="1" si="25"/>
        <v>-0.27730743568809935</v>
      </c>
      <c r="F239">
        <f t="shared" ca="1" si="25"/>
        <v>1.2368795204625271</v>
      </c>
      <c r="G239">
        <f t="shared" ca="1" si="25"/>
        <v>-0.69465148826291889</v>
      </c>
      <c r="H239">
        <f ca="1"/>
        <v>-0.27730743568809935</v>
      </c>
      <c r="I239">
        <f ca="1"/>
        <v>1.2206139339964712</v>
      </c>
      <c r="J239">
        <f ca="1"/>
        <v>-0.74808268184794291</v>
      </c>
      <c r="K239">
        <v>237</v>
      </c>
      <c r="L239">
        <f t="shared" ca="1" si="26"/>
        <v>109147.90376369606</v>
      </c>
      <c r="M239">
        <f t="shared" ca="1" si="27"/>
        <v>4182.3637535376847</v>
      </c>
      <c r="N239">
        <f t="shared" ca="1" si="28"/>
        <v>257.25025566369737</v>
      </c>
      <c r="O239" s="4">
        <f t="shared" ca="1" si="29"/>
        <v>-1.1991558109706962E-2</v>
      </c>
      <c r="P239" s="4">
        <f t="shared" ca="1" si="30"/>
        <v>2.3444155315266468E-3</v>
      </c>
      <c r="Q239" s="4">
        <f t="shared" ca="1" si="31"/>
        <v>1.8084601957668461E-2</v>
      </c>
      <c r="R239" s="4" cm="1">
        <f t="array" aca="1" ref="R239" ca="1">_xlfn._xlws.SORT(SUMPRODUCT($U$2:$W$2,O239:Q239))</f>
        <v>2.7656793669991082E-3</v>
      </c>
      <c r="S239" s="4">
        <f ca="1"/>
        <v>3.1955329095809809E-2</v>
      </c>
    </row>
    <row r="240" spans="1:19" x14ac:dyDescent="0.25">
      <c r="A240" s="4">
        <f>IFERROR(Merged_data[[#This Row],[BTCUSD_Close]]/Merged_data!D239-1,"")</f>
        <v>9.9999181005887561E-3</v>
      </c>
      <c r="B240" s="4">
        <f>IFERROR(Merged_data[[#This Row],[XAUUSD_Close]]/Merged_data!C239-1, "")</f>
        <v>1.4094651109390899E-2</v>
      </c>
      <c r="C240" s="4">
        <f>IFERROR(Merged_data[[#This Row],[AAPL_Close]]/Merged_data!B239-1,"")</f>
        <v>6.1603243917653927E-3</v>
      </c>
      <c r="D240" s="4">
        <f t="shared" si="24"/>
        <v>1.0485933191462604E-2</v>
      </c>
      <c r="E240">
        <f t="shared" ca="1" si="25"/>
        <v>0.18846902250503703</v>
      </c>
      <c r="F240">
        <f t="shared" ca="1" si="25"/>
        <v>0.29069322300654327</v>
      </c>
      <c r="G240">
        <f t="shared" ca="1" si="25"/>
        <v>0.40196189849360375</v>
      </c>
      <c r="H240">
        <f ca="1"/>
        <v>0.18846902250503703</v>
      </c>
      <c r="I240">
        <f ca="1"/>
        <v>0.30018756337157937</v>
      </c>
      <c r="J240">
        <f ca="1"/>
        <v>0.43694731972635475</v>
      </c>
      <c r="K240">
        <v>238</v>
      </c>
      <c r="L240">
        <f t="shared" ca="1" si="26"/>
        <v>110534.68116070201</v>
      </c>
      <c r="M240">
        <f t="shared" ca="1" si="27"/>
        <v>4135.667912978417</v>
      </c>
      <c r="N240">
        <f t="shared" ca="1" si="28"/>
        <v>263.61019384704895</v>
      </c>
      <c r="O240" s="4">
        <f t="shared" ca="1" si="29"/>
        <v>1.2625450658205976E-2</v>
      </c>
      <c r="P240" s="4">
        <f t="shared" ca="1" si="30"/>
        <v>-1.1227735834188072E-2</v>
      </c>
      <c r="Q240" s="4">
        <f t="shared" ca="1" si="31"/>
        <v>2.4422104983756718E-2</v>
      </c>
      <c r="R240" s="4" cm="1">
        <f t="array" aca="1" ref="R240" ca="1">_xlfn._xlws.SORT(SUMPRODUCT($U$2:$W$2,O240:Q240))</f>
        <v>6.6231723589135786E-3</v>
      </c>
      <c r="S240" s="4">
        <f ca="1"/>
        <v>3.316880328860098E-2</v>
      </c>
    </row>
    <row r="241" spans="1:19" x14ac:dyDescent="0.25">
      <c r="A241" s="4">
        <f>IFERROR(Merged_data[[#This Row],[BTCUSD_Close]]/Merged_data!D240-1,"")</f>
        <v>-1.4498629603801438E-2</v>
      </c>
      <c r="B241" s="4">
        <f>IFERROR(Merged_data[[#This Row],[XAUUSD_Close]]/Merged_data!C240-1, "")</f>
        <v>-1.5825251607890167E-2</v>
      </c>
      <c r="C241" s="4">
        <f>IFERROR(Merged_data[[#This Row],[AAPL_Close]]/Merged_data!B240-1,"")</f>
        <v>-1.5577772611020779E-2</v>
      </c>
      <c r="D241" s="4">
        <f t="shared" si="24"/>
        <v>-1.5353021307602731E-2</v>
      </c>
      <c r="E241">
        <f t="shared" ca="1" si="25"/>
        <v>-5.1724474593959513E-2</v>
      </c>
      <c r="F241">
        <f t="shared" ca="1" si="25"/>
        <v>-1.0588027507584343</v>
      </c>
      <c r="G241">
        <f t="shared" ca="1" si="25"/>
        <v>-0.54788679361009829</v>
      </c>
      <c r="H241">
        <f ca="1"/>
        <v>-5.1724474593959513E-2</v>
      </c>
      <c r="I241">
        <f ca="1"/>
        <v>-1.0600581025298093</v>
      </c>
      <c r="J241">
        <f ca="1"/>
        <v>-0.53774848039164169</v>
      </c>
      <c r="K241">
        <v>239</v>
      </c>
      <c r="L241">
        <f t="shared" ca="1" si="26"/>
        <v>109817.11024004125</v>
      </c>
      <c r="M241">
        <f t="shared" ca="1" si="27"/>
        <v>4067.6122402924652</v>
      </c>
      <c r="N241">
        <f t="shared" ca="1" si="28"/>
        <v>258.36738890117493</v>
      </c>
      <c r="O241" s="4">
        <f t="shared" ca="1" si="29"/>
        <v>-6.5129804722326391E-3</v>
      </c>
      <c r="P241" s="4">
        <f t="shared" ca="1" si="30"/>
        <v>-1.6592688001834093E-2</v>
      </c>
      <c r="Q241" s="4">
        <f t="shared" ca="1" si="31"/>
        <v>-2.0088913529798823E-2</v>
      </c>
      <c r="R241" s="4" cm="1">
        <f t="array" aca="1" ref="R241" ca="1">_xlfn._xlws.SORT(SUMPRODUCT($U$2:$W$2,O241:Q241))</f>
        <v>-1.4617643401343076E-2</v>
      </c>
      <c r="S241" s="4">
        <f ca="1"/>
        <v>3.3195720136494966E-2</v>
      </c>
    </row>
    <row r="242" spans="1:19" x14ac:dyDescent="0.25">
      <c r="A242" s="4">
        <f>IFERROR(Merged_data[[#This Row],[BTCUSD_Close]]/Merged_data!D241-1,"")</f>
        <v>-3.9108397650040372E-2</v>
      </c>
      <c r="B242" s="4">
        <f>IFERROR(Merged_data[[#This Row],[XAUUSD_Close]]/Merged_data!C241-1, "")</f>
        <v>8.4522235017827629E-3</v>
      </c>
      <c r="C242" s="4">
        <f>IFERROR(Merged_data[[#This Row],[AAPL_Close]]/Merged_data!B241-1,"")</f>
        <v>-3.4522122500393548E-2</v>
      </c>
      <c r="D242" s="4">
        <f t="shared" si="24"/>
        <v>-1.8708266644417069E-2</v>
      </c>
      <c r="E242">
        <f t="shared" ca="1" si="25"/>
        <v>0.2064272559330696</v>
      </c>
      <c r="F242">
        <f t="shared" ca="1" si="25"/>
        <v>1.9106531886897706</v>
      </c>
      <c r="G242">
        <f t="shared" ca="1" si="25"/>
        <v>0.89890137847976648</v>
      </c>
      <c r="H242">
        <f ca="1"/>
        <v>0.2064272559330696</v>
      </c>
      <c r="I242">
        <f ca="1"/>
        <v>1.9188560538461443</v>
      </c>
      <c r="J242">
        <f ca="1"/>
        <v>0.91455561621471027</v>
      </c>
      <c r="K242">
        <v>240</v>
      </c>
      <c r="L242">
        <f t="shared" ca="1" si="26"/>
        <v>110588.18025283549</v>
      </c>
      <c r="M242">
        <f t="shared" ca="1" si="27"/>
        <v>4218.1341967664048</v>
      </c>
      <c r="N242">
        <f t="shared" ca="1" si="28"/>
        <v>266.21734695566255</v>
      </c>
      <c r="O242" s="4">
        <f t="shared" ca="1" si="29"/>
        <v>6.9968661531194755E-3</v>
      </c>
      <c r="P242" s="4">
        <f t="shared" ca="1" si="30"/>
        <v>3.6336742662762191E-2</v>
      </c>
      <c r="Q242" s="4">
        <f t="shared" ca="1" si="31"/>
        <v>2.9930508959318432E-2</v>
      </c>
      <c r="R242" s="4" cm="1">
        <f t="array" aca="1" ref="R242" ca="1">_xlfn._xlws.SORT(SUMPRODUCT($U$2:$W$2,O242:Q242))</f>
        <v>2.5612909598836251E-2</v>
      </c>
      <c r="S242" s="4">
        <f ca="1"/>
        <v>3.40922618730767E-2</v>
      </c>
    </row>
    <row r="243" spans="1:19" x14ac:dyDescent="0.25">
      <c r="A243" s="4">
        <f>IFERROR(Merged_data[[#This Row],[BTCUSD_Close]]/Merged_data!D242-1,"")</f>
        <v>-8.3660869490755907E-3</v>
      </c>
      <c r="B243" s="4">
        <f>IFERROR(Merged_data[[#This Row],[XAUUSD_Close]]/Merged_data!C242-1, "")</f>
        <v>2.4822504939941314E-2</v>
      </c>
      <c r="C243" s="4">
        <f>IFERROR(Merged_data[[#This Row],[AAPL_Close]]/Merged_data!B242-1,"")</f>
        <v>9.7443633546703268E-3</v>
      </c>
      <c r="D243" s="4">
        <f t="shared" si="24"/>
        <v>1.0342484897654948E-2</v>
      </c>
      <c r="E243">
        <f t="shared" ca="1" si="25"/>
        <v>-1.8351010451776328</v>
      </c>
      <c r="F243">
        <f t="shared" ca="1" si="25"/>
        <v>-0.89496071904245267</v>
      </c>
      <c r="G243">
        <f t="shared" ca="1" si="25"/>
        <v>-2.4065259424763332</v>
      </c>
      <c r="H243">
        <f ca="1"/>
        <v>-1.8351010451776328</v>
      </c>
      <c r="I243">
        <f ca="1"/>
        <v>-0.99007554841517464</v>
      </c>
      <c r="J243">
        <f ca="1"/>
        <v>-2.8101624755172869</v>
      </c>
      <c r="K243">
        <v>241</v>
      </c>
      <c r="L243">
        <f t="shared" ca="1" si="26"/>
        <v>104633.84908582075</v>
      </c>
      <c r="M243">
        <f t="shared" ca="1" si="27"/>
        <v>4071.0836194072995</v>
      </c>
      <c r="N243">
        <f t="shared" ca="1" si="28"/>
        <v>246.54570214047342</v>
      </c>
      <c r="O243" s="4">
        <f t="shared" ca="1" si="29"/>
        <v>-5.5346109744957218E-2</v>
      </c>
      <c r="P243" s="4">
        <f t="shared" ca="1" si="30"/>
        <v>-3.5483687238358173E-2</v>
      </c>
      <c r="Q243" s="4">
        <f t="shared" ca="1" si="31"/>
        <v>-7.676568844206226E-2</v>
      </c>
      <c r="R243" s="4" cm="1">
        <f t="array" aca="1" ref="R243" ca="1">_xlfn._xlws.SORT(SUMPRODUCT($U$2:$W$2,O243:Q243))</f>
        <v>-5.3827014351449112E-2</v>
      </c>
      <c r="S243" s="4">
        <f ca="1"/>
        <v>3.4441578413362775E-2</v>
      </c>
    </row>
    <row r="244" spans="1:19" x14ac:dyDescent="0.25">
      <c r="A244" s="4">
        <f>IFERROR(Merged_data[[#This Row],[BTCUSD_Close]]/Merged_data!D243-1,"")</f>
        <v>-2.2520811025525833E-2</v>
      </c>
      <c r="B244" s="4">
        <f>IFERROR(Merged_data[[#This Row],[XAUUSD_Close]]/Merged_data!C243-1, "")</f>
        <v>7.7246285487673205E-3</v>
      </c>
      <c r="C244" s="4">
        <f>IFERROR(Merged_data[[#This Row],[AAPL_Close]]/Merged_data!B243-1,"")</f>
        <v>4.4415731244451528E-4</v>
      </c>
      <c r="D244" s="4">
        <f t="shared" si="24"/>
        <v>-3.5331446944174665E-3</v>
      </c>
      <c r="E244">
        <f t="shared" ca="1" si="25"/>
        <v>0.69998700953201376</v>
      </c>
      <c r="F244">
        <f t="shared" ca="1" si="25"/>
        <v>0.18517466851800946</v>
      </c>
      <c r="G244">
        <f t="shared" ca="1" si="25"/>
        <v>-1.4995623736018655</v>
      </c>
      <c r="H244">
        <f ca="1"/>
        <v>0.69998700953201376</v>
      </c>
      <c r="I244">
        <f ca="1"/>
        <v>0.22167102672380593</v>
      </c>
      <c r="J244">
        <f ca="1"/>
        <v>-1.2548579148055388</v>
      </c>
      <c r="K244">
        <v>242</v>
      </c>
      <c r="L244">
        <f t="shared" ca="1" si="26"/>
        <v>112077.47551288523</v>
      </c>
      <c r="M244">
        <f t="shared" ca="1" si="27"/>
        <v>4131.7039303004794</v>
      </c>
      <c r="N244">
        <f t="shared" ca="1" si="28"/>
        <v>254.57632293294228</v>
      </c>
      <c r="O244" s="4">
        <f t="shared" ca="1" si="29"/>
        <v>6.8723273491135647E-2</v>
      </c>
      <c r="P244" s="4">
        <f t="shared" ca="1" si="30"/>
        <v>1.4780686238291908E-2</v>
      </c>
      <c r="Q244" s="4">
        <f t="shared" ca="1" si="31"/>
        <v>3.2053304159111201E-2</v>
      </c>
      <c r="R244" s="4" cm="1">
        <f t="array" aca="1" ref="R244" ca="1">_xlfn._xlws.SORT(SUMPRODUCT($U$2:$W$2,O244:Q244))</f>
        <v>3.6145247790390814E-2</v>
      </c>
      <c r="S244" s="4">
        <f ca="1"/>
        <v>3.450745706928203E-2</v>
      </c>
    </row>
    <row r="245" spans="1:19" x14ac:dyDescent="0.25">
      <c r="A245" s="4">
        <f>IFERROR(Merged_data[[#This Row],[BTCUSD_Close]]/Merged_data!D244-1,"")</f>
        <v>-2.0407081522315296E-2</v>
      </c>
      <c r="B245" s="4">
        <f>IFERROR(Merged_data[[#This Row],[XAUUSD_Close]]/Merged_data!C244-1, "")</f>
        <v>1.5951308311483947E-2</v>
      </c>
      <c r="C245" s="4">
        <f>IFERROR(Merged_data[[#This Row],[AAPL_Close]]/Merged_data!B244-1,"")</f>
        <v>6.336521774226167E-3</v>
      </c>
      <c r="D245" s="4">
        <f t="shared" si="24"/>
        <v>2.1593554001668406E-3</v>
      </c>
      <c r="E245">
        <f t="shared" ca="1" si="25"/>
        <v>0.41337426060424792</v>
      </c>
      <c r="F245">
        <f t="shared" ca="1" si="25"/>
        <v>0.51802946651937476</v>
      </c>
      <c r="G245">
        <f t="shared" ca="1" si="25"/>
        <v>-1.1035173446264175</v>
      </c>
      <c r="H245">
        <f ca="1"/>
        <v>0.41337426060424792</v>
      </c>
      <c r="I245">
        <f ca="1"/>
        <v>0.53901856150716954</v>
      </c>
      <c r="J245">
        <f ca="1"/>
        <v>-0.95230176944433675</v>
      </c>
      <c r="K245">
        <v>243</v>
      </c>
      <c r="L245">
        <f t="shared" ca="1" si="26"/>
        <v>111209.85462917127</v>
      </c>
      <c r="M245">
        <f t="shared" ca="1" si="27"/>
        <v>4147.7276436197844</v>
      </c>
      <c r="N245">
        <f t="shared" ca="1" si="28"/>
        <v>256.16848783433801</v>
      </c>
      <c r="O245" s="4">
        <f t="shared" ca="1" si="29"/>
        <v>-7.7713791442891823E-3</v>
      </c>
      <c r="P245" s="4">
        <f t="shared" ca="1" si="30"/>
        <v>3.8707327145847299E-3</v>
      </c>
      <c r="Q245" s="4">
        <f t="shared" ca="1" si="31"/>
        <v>6.2346989154255534E-3</v>
      </c>
      <c r="R245" s="4" cm="1">
        <f t="array" aca="1" ref="R245" ca="1">_xlfn._xlws.SORT(SUMPRODUCT($U$2:$W$2,O245:Q245))</f>
        <v>1.0872890171748034E-3</v>
      </c>
      <c r="S245" s="4">
        <f ca="1"/>
        <v>3.4578698658131728E-2</v>
      </c>
    </row>
    <row r="246" spans="1:19" x14ac:dyDescent="0.25">
      <c r="A246" s="4">
        <f>IFERROR(Merged_data[[#This Row],[BTCUSD_Close]]/Merged_data!D245-1,"")</f>
        <v>-2.1634832169976415E-2</v>
      </c>
      <c r="B246" s="4">
        <f>IFERROR(Merged_data[[#This Row],[XAUUSD_Close]]/Merged_data!C245-1, "")</f>
        <v>2.8523900619051412E-2</v>
      </c>
      <c r="C246" s="4">
        <f>IFERROR(Merged_data[[#This Row],[AAPL_Close]]/Merged_data!B245-1,"")</f>
        <v>-7.5800112296463551E-3</v>
      </c>
      <c r="D246" s="4">
        <f t="shared" si="24"/>
        <v>2.6451072277337349E-3</v>
      </c>
      <c r="E246">
        <f t="shared" ca="1" si="25"/>
        <v>1.5332783992008707</v>
      </c>
      <c r="F246">
        <f t="shared" ca="1" si="25"/>
        <v>-2.4012700992554747</v>
      </c>
      <c r="G246">
        <f t="shared" ca="1" si="25"/>
        <v>-0.74112121133238706</v>
      </c>
      <c r="H246">
        <f ca="1"/>
        <v>1.5332783992008707</v>
      </c>
      <c r="I246">
        <f ca="1"/>
        <v>-2.317455655001027</v>
      </c>
      <c r="J246">
        <f ca="1"/>
        <v>-0.29021997400932265</v>
      </c>
      <c r="K246">
        <v>244</v>
      </c>
      <c r="L246">
        <f t="shared" ca="1" si="26"/>
        <v>114637.78555264111</v>
      </c>
      <c r="M246">
        <f t="shared" ca="1" si="27"/>
        <v>4005.6938875027108</v>
      </c>
      <c r="N246">
        <f t="shared" ca="1" si="28"/>
        <v>259.6876989851354</v>
      </c>
      <c r="O246" s="4">
        <f t="shared" ca="1" si="29"/>
        <v>3.0358468144389771E-2</v>
      </c>
      <c r="P246" s="4">
        <f t="shared" ca="1" si="30"/>
        <v>-3.484380770504162E-2</v>
      </c>
      <c r="Q246" s="4">
        <f t="shared" ca="1" si="31"/>
        <v>1.3644367704858846E-2</v>
      </c>
      <c r="R246" s="4" cm="1">
        <f t="array" aca="1" ref="R246" ca="1">_xlfn._xlws.SORT(SUMPRODUCT($U$2:$W$2,O246:Q246))</f>
        <v>-7.3667232724206489E-4</v>
      </c>
      <c r="S246" s="4">
        <f ca="1"/>
        <v>3.6145247790390814E-2</v>
      </c>
    </row>
    <row r="247" spans="1:19" x14ac:dyDescent="0.25">
      <c r="A247" s="4">
        <f>IFERROR(Merged_data[[#This Row],[BTCUSD_Close]]/Merged_data!D246-1,"")</f>
        <v>-1.8499912431904297E-2</v>
      </c>
      <c r="B247" s="4">
        <f>IFERROR(Merged_data[[#This Row],[XAUUSD_Close]]/Merged_data!C246-1, "")</f>
        <v>-2.3727611319568909E-2</v>
      </c>
      <c r="C247" s="4">
        <f>IFERROR(Merged_data[[#This Row],[AAPL_Close]]/Merged_data!B246-1,"")</f>
        <v>1.9559506971105201E-2</v>
      </c>
      <c r="D247" s="4">
        <f t="shared" si="24"/>
        <v>-9.1731661660672918E-3</v>
      </c>
      <c r="E247">
        <f t="shared" ca="1" si="25"/>
        <v>-0.60101882662848072</v>
      </c>
      <c r="F247">
        <f t="shared" ca="1" si="25"/>
        <v>-2.345038767314044</v>
      </c>
      <c r="G247">
        <f t="shared" ca="1" si="25"/>
        <v>0.29077970870220937</v>
      </c>
      <c r="H247">
        <f ca="1"/>
        <v>-0.60101882662848072</v>
      </c>
      <c r="I247">
        <f ca="1"/>
        <v>-2.3733599372817618</v>
      </c>
      <c r="J247">
        <f ca="1"/>
        <v>0.12548571570042952</v>
      </c>
      <c r="K247">
        <v>245</v>
      </c>
      <c r="L247">
        <f t="shared" ca="1" si="26"/>
        <v>108192.97583455633</v>
      </c>
      <c r="M247">
        <f t="shared" ca="1" si="27"/>
        <v>4002.9620395926063</v>
      </c>
      <c r="N247">
        <f t="shared" ca="1" si="28"/>
        <v>261.92191201317712</v>
      </c>
      <c r="O247" s="4">
        <f t="shared" ca="1" si="29"/>
        <v>-5.7861020844874975E-2</v>
      </c>
      <c r="P247" s="4">
        <f t="shared" ca="1" si="30"/>
        <v>-6.8222384403329576E-4</v>
      </c>
      <c r="Q247" s="4">
        <f t="shared" ca="1" si="31"/>
        <v>8.5666622875131392E-3</v>
      </c>
      <c r="R247" s="4" cm="1">
        <f t="array" aca="1" ref="R247" ca="1">_xlfn._xlws.SORT(SUMPRODUCT($U$2:$W$2,O247:Q247))</f>
        <v>-1.5061197104821867E-2</v>
      </c>
      <c r="S247" s="4">
        <f ca="1"/>
        <v>4.3030123981463622E-2</v>
      </c>
    </row>
    <row r="248" spans="1:19" x14ac:dyDescent="0.25">
      <c r="A248" s="4">
        <f>IFERROR(Merged_data[[#This Row],[BTCUSD_Close]]/Merged_data!D247-1,"")</f>
        <v>3.8758452291510093E-2</v>
      </c>
      <c r="B248" s="4">
        <f>IFERROR(Merged_data[[#This Row],[XAUUSD_Close]]/Merged_data!C247-1, "")</f>
        <v>3.0928542606176501E-2</v>
      </c>
      <c r="C248" s="4">
        <f>IFERROR(Merged_data[[#This Row],[AAPL_Close]]/Merged_data!B247-1,"")</f>
        <v>3.943874113123802E-2</v>
      </c>
      <c r="D248" s="4">
        <f t="shared" si="24"/>
        <v>3.5830575069295031E-2</v>
      </c>
      <c r="E248">
        <f t="shared" ca="1" si="25"/>
        <v>0.32248597928197259</v>
      </c>
      <c r="F248">
        <f t="shared" ca="1" si="25"/>
        <v>1.5866807993022845</v>
      </c>
      <c r="G248">
        <f t="shared" ca="1" si="25"/>
        <v>1.09801389953655</v>
      </c>
      <c r="H248">
        <f ca="1"/>
        <v>0.32248597928197259</v>
      </c>
      <c r="I248">
        <f ca="1"/>
        <v>1.6014239946684836</v>
      </c>
      <c r="J248">
        <f ca="1"/>
        <v>1.1387726318846692</v>
      </c>
      <c r="K248">
        <v>246</v>
      </c>
      <c r="L248">
        <f t="shared" ca="1" si="26"/>
        <v>110935.6877169775</v>
      </c>
      <c r="M248">
        <f t="shared" ca="1" si="27"/>
        <v>4201.825365006488</v>
      </c>
      <c r="N248">
        <f t="shared" ca="1" si="28"/>
        <v>267.44901968440456</v>
      </c>
      <c r="O248" s="4">
        <f t="shared" ca="1" si="29"/>
        <v>2.5034197508647101E-2</v>
      </c>
      <c r="P248" s="4">
        <f t="shared" ca="1" si="30"/>
        <v>4.8484444613404634E-2</v>
      </c>
      <c r="Q248" s="4">
        <f t="shared" ca="1" si="31"/>
        <v>2.088255396881665E-2</v>
      </c>
      <c r="R248" s="4" cm="1">
        <f t="array" aca="1" ref="R248" ca="1">_xlfn._xlws.SORT(SUMPRODUCT($U$2:$W$2,O248:Q248))</f>
        <v>3.316880328860098E-2</v>
      </c>
      <c r="S248" s="4">
        <f ca="1"/>
        <v>4.3593318545182697E-2</v>
      </c>
    </row>
    <row r="249" spans="1:19" x14ac:dyDescent="0.25">
      <c r="A249" s="4">
        <f>IFERROR(Merged_data[[#This Row],[BTCUSD_Close]]/Merged_data!D248-1,"")</f>
        <v>2.9292901895900947E-3</v>
      </c>
      <c r="B249" s="4">
        <f>IFERROR(Merged_data[[#This Row],[XAUUSD_Close]]/Merged_data!C248-1, "")</f>
        <v>-5.30868420388102E-2</v>
      </c>
      <c r="C249" s="4">
        <f>IFERROR(Merged_data[[#This Row],[AAPL_Close]]/Merged_data!B248-1,"")</f>
        <v>2.0210494203782847E-3</v>
      </c>
      <c r="D249" s="4">
        <f t="shared" si="24"/>
        <v>-1.9749634932533566E-2</v>
      </c>
      <c r="E249">
        <f t="shared" ca="1" si="25"/>
        <v>-1.4763841131480613</v>
      </c>
      <c r="F249">
        <f t="shared" ca="1" si="25"/>
        <v>-0.17809463007196802</v>
      </c>
      <c r="G249">
        <f t="shared" ca="1" si="25"/>
        <v>0.39052612264822278</v>
      </c>
      <c r="H249">
        <f ca="1"/>
        <v>-1.4763841131480613</v>
      </c>
      <c r="I249">
        <f ca="1"/>
        <v>-0.25536431235249746</v>
      </c>
      <c r="J249">
        <f ca="1"/>
        <v>-2.2904093850716623E-2</v>
      </c>
      <c r="K249">
        <v>247</v>
      </c>
      <c r="L249">
        <f t="shared" ca="1" si="26"/>
        <v>105655.40004367834</v>
      </c>
      <c r="M249">
        <f t="shared" ca="1" si="27"/>
        <v>4107.725567185521</v>
      </c>
      <c r="N249">
        <f t="shared" ca="1" si="28"/>
        <v>261.12166749415695</v>
      </c>
      <c r="O249" s="4">
        <f t="shared" ca="1" si="29"/>
        <v>-4.8767788131895209E-2</v>
      </c>
      <c r="P249" s="4">
        <f t="shared" ca="1" si="30"/>
        <v>-2.2649556237067964E-2</v>
      </c>
      <c r="Q249" s="4">
        <f t="shared" ca="1" si="31"/>
        <v>-2.3942509868425034E-2</v>
      </c>
      <c r="R249" s="4" cm="1">
        <f t="array" aca="1" ref="R249" ca="1">_xlfn._xlws.SORT(SUMPRODUCT($U$2:$W$2,O249:Q249))</f>
        <v>-3.087291189492326E-2</v>
      </c>
      <c r="S249" s="4">
        <f ca="1"/>
        <v>4.4157643067543488E-2</v>
      </c>
    </row>
    <row r="250" spans="1:19" x14ac:dyDescent="0.25">
      <c r="A250" s="4">
        <f>IFERROR(Merged_data[[#This Row],[BTCUSD_Close]]/Merged_data!D249-1,"")</f>
        <v>-3.335406694251386E-2</v>
      </c>
      <c r="B250" s="4">
        <f>IFERROR(Merged_data[[#This Row],[XAUUSD_Close]]/Merged_data!C249-1, "")</f>
        <v>-6.4196740706260469E-3</v>
      </c>
      <c r="C250" s="4">
        <f>IFERROR(Merged_data[[#This Row],[AAPL_Close]]/Merged_data!B249-1,"")</f>
        <v>-1.6440232903299434E-2</v>
      </c>
      <c r="D250" s="4">
        <f t="shared" si="24"/>
        <v>-1.7506159581994408E-2</v>
      </c>
      <c r="E250">
        <f t="shared" ca="1" si="25"/>
        <v>0.49199688565467736</v>
      </c>
      <c r="F250">
        <f t="shared" ca="1" si="25"/>
        <v>-0.22859604498586505</v>
      </c>
      <c r="G250">
        <f t="shared" ca="1" si="25"/>
        <v>-0.55790127508914156</v>
      </c>
      <c r="H250">
        <f ca="1"/>
        <v>0.49199688565467736</v>
      </c>
      <c r="I250">
        <f ca="1"/>
        <v>-0.20244919733077654</v>
      </c>
      <c r="J250">
        <f ca="1"/>
        <v>-0.40316431024708088</v>
      </c>
      <c r="K250">
        <v>248</v>
      </c>
      <c r="L250">
        <f t="shared" ca="1" si="26"/>
        <v>111446.31923787086</v>
      </c>
      <c r="M250">
        <f t="shared" ca="1" si="27"/>
        <v>4110.3765796239577</v>
      </c>
      <c r="N250">
        <f t="shared" ca="1" si="28"/>
        <v>259.08303415037688</v>
      </c>
      <c r="O250" s="4">
        <f t="shared" ca="1" si="29"/>
        <v>5.3360177824946814E-2</v>
      </c>
      <c r="P250" s="4">
        <f t="shared" ca="1" si="30"/>
        <v>6.4516417124841935E-4</v>
      </c>
      <c r="Q250" s="4">
        <f t="shared" ca="1" si="31"/>
        <v>-7.8378521907080823E-3</v>
      </c>
      <c r="R250" s="4" cm="1">
        <f t="array" aca="1" ref="R250" ca="1">_xlfn._xlws.SORT(SUMPRODUCT($U$2:$W$2,O250:Q250))</f>
        <v>1.3914763358770987E-2</v>
      </c>
      <c r="S250" s="4">
        <f ca="1"/>
        <v>4.4340436421752567E-2</v>
      </c>
    </row>
    <row r="251" spans="1:19" x14ac:dyDescent="0.25">
      <c r="A251" s="4">
        <f>IFERROR(Merged_data[[#This Row],[BTCUSD_Close]]/Merged_data!D250-1,"")</f>
        <v>2.2008560957185841E-2</v>
      </c>
      <c r="B251" s="4">
        <f>IFERROR(Merged_data[[#This Row],[XAUUSD_Close]]/Merged_data!C250-1, "")</f>
        <v>6.9125548392763303E-3</v>
      </c>
      <c r="C251" s="4">
        <f>IFERROR(Merged_data[[#This Row],[AAPL_Close]]/Merged_data!B250-1,"")</f>
        <v>4.3722189978718795E-3</v>
      </c>
      <c r="D251" s="4">
        <f t="shared" si="24"/>
        <v>1.0679255922227848E-2</v>
      </c>
      <c r="E251">
        <f t="shared" ca="1" si="25"/>
        <v>1.0061299784261306</v>
      </c>
      <c r="F251">
        <f t="shared" ca="1" si="25"/>
        <v>-2.4122407575858471E-2</v>
      </c>
      <c r="G251">
        <f t="shared" ca="1" si="25"/>
        <v>-5.3748993295417082E-2</v>
      </c>
      <c r="H251">
        <f ca="1"/>
        <v>1.0061299784261306</v>
      </c>
      <c r="I251">
        <f ca="1"/>
        <v>2.873620042790509E-2</v>
      </c>
      <c r="J251">
        <f ca="1"/>
        <v>0.22057992479962713</v>
      </c>
      <c r="K251">
        <v>249</v>
      </c>
      <c r="L251">
        <f t="shared" ca="1" si="26"/>
        <v>113010.34958843941</v>
      </c>
      <c r="M251">
        <f t="shared" ca="1" si="27"/>
        <v>4121.9830457983244</v>
      </c>
      <c r="N251">
        <f t="shared" ca="1" si="28"/>
        <v>262.43484785914984</v>
      </c>
      <c r="O251" s="4">
        <f t="shared" ca="1" si="29"/>
        <v>1.3936370639487595E-2</v>
      </c>
      <c r="P251" s="4">
        <f t="shared" ca="1" si="30"/>
        <v>2.8197198355136518E-3</v>
      </c>
      <c r="Q251" s="4">
        <f t="shared" ca="1" si="31"/>
        <v>1.2854247098404334E-2</v>
      </c>
      <c r="R251" s="4" cm="1">
        <f t="array" aca="1" ref="R251" ca="1">_xlfn._xlws.SORT(SUMPRODUCT($U$2:$W$2,O251:Q251))</f>
        <v>9.1650732555730394E-3</v>
      </c>
      <c r="S251" s="4">
        <f ca="1"/>
        <v>4.5478354750125197E-2</v>
      </c>
    </row>
  </sheetData>
  <mergeCells count="1">
    <mergeCell ref="O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6C12-73A3-4806-9FBE-8871162BDFFA}">
  <dimension ref="A1:M252"/>
  <sheetViews>
    <sheetView tabSelected="1" workbookViewId="0">
      <selection activeCell="A2" sqref="A2"/>
    </sheetView>
  </sheetViews>
  <sheetFormatPr defaultRowHeight="15" x14ac:dyDescent="0.25"/>
  <cols>
    <col min="1" max="1" width="10.7109375" style="1" bestFit="1" customWidth="1"/>
    <col min="2" max="2" width="10.7109375" customWidth="1"/>
    <col min="3" max="3" width="11.85546875" bestFit="1" customWidth="1"/>
    <col min="4" max="4" width="11.42578125" customWidth="1"/>
    <col min="5" max="5" width="14.85546875" customWidth="1"/>
    <col min="6" max="6" width="14" bestFit="1" customWidth="1"/>
    <col min="7" max="7" width="14" customWidth="1"/>
    <col min="8" max="8" width="11.140625" bestFit="1" customWidth="1"/>
    <col min="9" max="9" width="13.28515625" bestFit="1" customWidth="1"/>
    <col min="10" max="10" width="26" bestFit="1" customWidth="1"/>
    <col min="11" max="12" width="12" bestFit="1" customWidth="1"/>
    <col min="13" max="13" width="11.85546875" bestFit="1" customWidth="1"/>
  </cols>
  <sheetData>
    <row r="1" spans="1:13" x14ac:dyDescent="0.25">
      <c r="A1" s="5" t="s">
        <v>0</v>
      </c>
      <c r="B1" s="6" t="s">
        <v>66</v>
      </c>
      <c r="C1" s="6" t="s">
        <v>67</v>
      </c>
      <c r="D1" s="6" t="s">
        <v>1</v>
      </c>
      <c r="E1" s="6" t="s">
        <v>7</v>
      </c>
      <c r="F1" s="6" t="s">
        <v>23</v>
      </c>
      <c r="G1" s="6" t="s">
        <v>24</v>
      </c>
      <c r="H1" s="6" t="s">
        <v>30</v>
      </c>
      <c r="I1" s="6" t="s">
        <v>61</v>
      </c>
      <c r="J1" s="6" t="s">
        <v>6</v>
      </c>
      <c r="K1" s="6" t="s">
        <v>68</v>
      </c>
      <c r="L1" s="6" t="s">
        <v>70</v>
      </c>
      <c r="M1" s="6" t="s">
        <v>5</v>
      </c>
    </row>
    <row r="2" spans="1:13" x14ac:dyDescent="0.25">
      <c r="A2" s="1" cm="1">
        <f t="array" ref="A2:A252">Merged_data[Date]</f>
        <v>45589</v>
      </c>
      <c r="B2" s="4"/>
      <c r="J2" s="7" t="s">
        <v>2</v>
      </c>
      <c r="K2" s="2">
        <v>0.3</v>
      </c>
      <c r="L2" s="2">
        <v>0.4</v>
      </c>
      <c r="M2" s="2">
        <v>0.3</v>
      </c>
    </row>
    <row r="3" spans="1:13" x14ac:dyDescent="0.25">
      <c r="A3" s="1">
        <v>45590</v>
      </c>
      <c r="B3" s="4">
        <f>IFERROR(Merged_data[[#This Row],[BTCUSD_Close]]/Merged_data!D2-1,"")</f>
        <v>-2.2252673248773225E-2</v>
      </c>
      <c r="C3" s="4">
        <f>IFERROR(Merged_data[[#This Row],[XAUUSD_Close]]/Merged_data!C2-1, "")</f>
        <v>2.3940189730571326E-3</v>
      </c>
      <c r="D3" s="4">
        <f>IFERROR(Merged_data[[#This Row],[AAPL_Close]]/Merged_data!B2-1,"")</f>
        <v>3.6424647054731363E-3</v>
      </c>
      <c r="E3" s="18">
        <f>SUMPRODUCT(B3:D3,$K$2:$M$2)</f>
        <v>-4.6254549737671739E-3</v>
      </c>
      <c r="F3" s="19">
        <f>ABS(E3*$K$5)</f>
        <v>4625.4549737671741</v>
      </c>
      <c r="G3" t="b">
        <f>F3&gt;$K$8</f>
        <v>0</v>
      </c>
      <c r="H3" t="b">
        <f>F3&gt;$K$9</f>
        <v>0</v>
      </c>
      <c r="I3" t="b">
        <f ca="1">F3&gt;$K$10</f>
        <v>0</v>
      </c>
      <c r="J3" s="7" t="s">
        <v>16</v>
      </c>
      <c r="K3" s="12">
        <v>300000</v>
      </c>
      <c r="L3" s="12">
        <v>400000</v>
      </c>
      <c r="M3" s="12">
        <v>300000</v>
      </c>
    </row>
    <row r="4" spans="1:13" x14ac:dyDescent="0.25">
      <c r="A4" s="1">
        <v>45593</v>
      </c>
      <c r="B4" s="4">
        <f>IFERROR(Merged_data[[#This Row],[BTCUSD_Close]]/Merged_data!D3-1,"")</f>
        <v>4.6813423092126438E-2</v>
      </c>
      <c r="C4" s="4">
        <f>IFERROR(Merged_data[[#This Row],[XAUUSD_Close]]/Merged_data!C3-1, "")</f>
        <v>-1.130341089539133E-4</v>
      </c>
      <c r="D4" s="4">
        <f>IFERROR(Merged_data[[#This Row],[AAPL_Close]]/Merged_data!B3-1,"")</f>
        <v>8.596720686698367E-3</v>
      </c>
      <c r="E4" s="18">
        <f t="shared" ref="E4:E67" si="0">SUMPRODUCT(B4:D4,$K$2:$M$2)</f>
        <v>1.6577829490065876E-2</v>
      </c>
      <c r="F4" s="19">
        <f t="shared" ref="F4:F67" si="1">ABS(E4*$K$5)</f>
        <v>16577.829490065877</v>
      </c>
      <c r="G4" t="b">
        <f t="shared" ref="G4:G67" si="2">F4&gt;$K$8</f>
        <v>0</v>
      </c>
      <c r="H4" t="b">
        <f t="shared" ref="H4:H67" si="3">F4&gt;$K$9</f>
        <v>0</v>
      </c>
      <c r="I4" t="b">
        <f t="shared" ref="I4:I67" ca="1" si="4">F4&gt;$K$10</f>
        <v>0</v>
      </c>
    </row>
    <row r="5" spans="1:13" x14ac:dyDescent="0.25">
      <c r="A5" s="1">
        <v>45594</v>
      </c>
      <c r="B5" s="4">
        <f>IFERROR(Merged_data[[#This Row],[BTCUSD_Close]]/Merged_data!D4-1,"")</f>
        <v>3.8675265938045822E-2</v>
      </c>
      <c r="C5" s="4">
        <f>IFERROR(Merged_data[[#This Row],[XAUUSD_Close]]/Merged_data!C4-1, "")</f>
        <v>1.1835279745462168E-2</v>
      </c>
      <c r="D5" s="4">
        <f>IFERROR(Merged_data[[#This Row],[AAPL_Close]]/Merged_data!B4-1,"")</f>
        <v>1.1593605482487224E-3</v>
      </c>
      <c r="E5" s="18">
        <f t="shared" si="0"/>
        <v>1.668449984407323E-2</v>
      </c>
      <c r="F5" s="19">
        <f t="shared" si="1"/>
        <v>16684.499844073231</v>
      </c>
      <c r="G5" t="b">
        <f t="shared" si="2"/>
        <v>0</v>
      </c>
      <c r="H5" t="b">
        <f t="shared" si="3"/>
        <v>0</v>
      </c>
      <c r="I5" t="b">
        <f t="shared" ca="1" si="4"/>
        <v>0</v>
      </c>
      <c r="J5" s="9" t="s">
        <v>14</v>
      </c>
      <c r="K5" s="17">
        <v>1000000</v>
      </c>
      <c r="L5" s="26">
        <v>0.05</v>
      </c>
    </row>
    <row r="6" spans="1:13" x14ac:dyDescent="0.25">
      <c r="A6" s="1">
        <v>45595</v>
      </c>
      <c r="B6" s="4">
        <f>IFERROR(Merged_data[[#This Row],[BTCUSD_Close]]/Merged_data!D5-1,"")</f>
        <v>-3.3353163455288604E-3</v>
      </c>
      <c r="C6" s="4">
        <f>IFERROR(Merged_data[[#This Row],[XAUUSD_Close]]/Merged_data!C5-1, "")</f>
        <v>4.6527887900587039E-3</v>
      </c>
      <c r="D6" s="4">
        <f>IFERROR(Merged_data[[#This Row],[AAPL_Close]]/Merged_data!B5-1,"")</f>
        <v>-1.5277259528986953E-2</v>
      </c>
      <c r="E6" s="18">
        <f t="shared" si="0"/>
        <v>-3.7226572463312617E-3</v>
      </c>
      <c r="F6" s="19">
        <f t="shared" si="1"/>
        <v>3722.6572463312618</v>
      </c>
      <c r="G6" t="b">
        <f t="shared" si="2"/>
        <v>0</v>
      </c>
      <c r="H6" t="b">
        <f t="shared" si="3"/>
        <v>0</v>
      </c>
      <c r="I6" t="b">
        <f t="shared" ca="1" si="4"/>
        <v>0</v>
      </c>
    </row>
    <row r="7" spans="1:13" x14ac:dyDescent="0.25">
      <c r="A7" s="1">
        <v>45596</v>
      </c>
      <c r="B7" s="4">
        <f>IFERROR(Merged_data[[#This Row],[BTCUSD_Close]]/Merged_data!D6-1,"")</f>
        <v>-2.7671310100505053E-2</v>
      </c>
      <c r="C7" s="4">
        <f>IFERROR(Merged_data[[#This Row],[XAUUSD_Close]]/Merged_data!C6-1, "")</f>
        <v>-1.4846157433482055E-2</v>
      </c>
      <c r="D7" s="4">
        <f>IFERROR(Merged_data[[#This Row],[AAPL_Close]]/Merged_data!B6-1,"")</f>
        <v>-1.8210326879940841E-2</v>
      </c>
      <c r="E7" s="18">
        <f t="shared" si="0"/>
        <v>-1.970295406752659E-2</v>
      </c>
      <c r="F7" s="19">
        <f t="shared" si="1"/>
        <v>19702.954067526589</v>
      </c>
      <c r="G7" t="b">
        <f t="shared" si="2"/>
        <v>0</v>
      </c>
      <c r="H7" t="b">
        <f t="shared" si="3"/>
        <v>0</v>
      </c>
      <c r="I7" t="b">
        <f t="shared" ca="1" si="4"/>
        <v>0</v>
      </c>
      <c r="J7" s="6" t="s">
        <v>27</v>
      </c>
      <c r="K7" s="9" t="s">
        <v>28</v>
      </c>
      <c r="L7" s="9" t="s">
        <v>29</v>
      </c>
    </row>
    <row r="8" spans="1:13" x14ac:dyDescent="0.25">
      <c r="A8" s="1">
        <v>45597</v>
      </c>
      <c r="B8" s="4">
        <f>IFERROR(Merged_data[[#This Row],[BTCUSD_Close]]/Merged_data!D7-1,"")</f>
        <v>-1.6758109415832001E-2</v>
      </c>
      <c r="C8" s="4">
        <f>IFERROR(Merged_data[[#This Row],[XAUUSD_Close]]/Merged_data!C7-1, "")</f>
        <v>-3.5285057015044252E-3</v>
      </c>
      <c r="D8" s="4">
        <f>IFERROR(Merged_data[[#This Row],[AAPL_Close]]/Merged_data!B7-1,"")</f>
        <v>-1.3282227368308974E-2</v>
      </c>
      <c r="E8" s="18">
        <f t="shared" si="0"/>
        <v>-1.0423503315844063E-2</v>
      </c>
      <c r="F8" s="19">
        <f t="shared" si="1"/>
        <v>10423.503315844064</v>
      </c>
      <c r="G8" t="b">
        <f t="shared" si="2"/>
        <v>0</v>
      </c>
      <c r="H8" t="b">
        <f t="shared" si="3"/>
        <v>0</v>
      </c>
      <c r="I8" t="b">
        <f t="shared" ca="1" si="4"/>
        <v>0</v>
      </c>
      <c r="J8" s="9" t="s">
        <v>26</v>
      </c>
      <c r="K8" s="20">
        <f>Historical!I16</f>
        <v>32536.520933512671</v>
      </c>
      <c r="L8" s="20">
        <f>Historical!J16</f>
        <v>17449.262297023964</v>
      </c>
    </row>
    <row r="9" spans="1:13" x14ac:dyDescent="0.25">
      <c r="A9" s="1">
        <v>45600</v>
      </c>
      <c r="B9" s="4">
        <f>IFERROR(Merged_data[[#This Row],[BTCUSD_Close]]/Merged_data!D8-1,"")</f>
        <v>-1.8892193673890167E-2</v>
      </c>
      <c r="C9" s="4">
        <f>IFERROR(Merged_data[[#This Row],[XAUUSD_Close]]/Merged_data!C8-1, "")</f>
        <v>6.2122809485920527E-5</v>
      </c>
      <c r="D9" s="4">
        <f>IFERROR(Merged_data[[#This Row],[AAPL_Close]]/Merged_data!B8-1,"")</f>
        <v>-4.0374067080298781E-3</v>
      </c>
      <c r="E9" s="18">
        <f t="shared" si="0"/>
        <v>-6.8540309907816448E-3</v>
      </c>
      <c r="F9" s="19">
        <f t="shared" si="1"/>
        <v>6854.0309907816445</v>
      </c>
      <c r="G9" t="b">
        <f t="shared" si="2"/>
        <v>0</v>
      </c>
      <c r="H9" t="b">
        <f t="shared" si="3"/>
        <v>0</v>
      </c>
      <c r="I9" t="b">
        <f t="shared" ca="1" si="4"/>
        <v>0</v>
      </c>
      <c r="J9" s="9" t="s">
        <v>25</v>
      </c>
      <c r="K9" s="20">
        <f>Parametric!I21</f>
        <v>27930.257085124824</v>
      </c>
      <c r="L9" s="20">
        <f>Parametric!J21</f>
        <v>19286.185361585529</v>
      </c>
    </row>
    <row r="10" spans="1:13" x14ac:dyDescent="0.25">
      <c r="A10" s="1">
        <v>45601</v>
      </c>
      <c r="B10" s="4">
        <f>IFERROR(Merged_data[[#This Row],[BTCUSD_Close]]/Merged_data!D9-1,"")</f>
        <v>2.5051041902971916E-2</v>
      </c>
      <c r="C10" s="4">
        <f>IFERROR(Merged_data[[#This Row],[XAUUSD_Close]]/Merged_data!C9-1, "")</f>
        <v>2.6711148707285748E-3</v>
      </c>
      <c r="D10" s="4">
        <f>IFERROR(Merged_data[[#This Row],[AAPL_Close]]/Merged_data!B9-1,"")</f>
        <v>6.4869403490399602E-3</v>
      </c>
      <c r="E10" s="18">
        <f t="shared" si="0"/>
        <v>1.0529840623894992E-2</v>
      </c>
      <c r="F10" s="19">
        <f t="shared" si="1"/>
        <v>10529.840623894992</v>
      </c>
      <c r="G10" t="b">
        <f t="shared" si="2"/>
        <v>0</v>
      </c>
      <c r="H10" t="b">
        <f t="shared" si="3"/>
        <v>0</v>
      </c>
      <c r="I10" t="b">
        <f t="shared" ca="1" si="4"/>
        <v>0</v>
      </c>
      <c r="J10" s="9" t="s">
        <v>62</v>
      </c>
      <c r="K10" s="20">
        <f ca="1">Monte_Carlo!U26</f>
        <v>36995.535055472501</v>
      </c>
      <c r="L10" s="20">
        <f ca="1">Monte_Carlo!V26</f>
        <v>28559.017012131484</v>
      </c>
    </row>
    <row r="11" spans="1:13" x14ac:dyDescent="0.25">
      <c r="A11" s="1">
        <v>45602</v>
      </c>
      <c r="B11" s="4">
        <f>IFERROR(Merged_data[[#This Row],[BTCUSD_Close]]/Merged_data!D10-1,"")</f>
        <v>8.7634006840456413E-2</v>
      </c>
      <c r="C11" s="4">
        <f>IFERROR(Merged_data[[#This Row],[XAUUSD_Close]]/Merged_data!C10-1, "")</f>
        <v>-3.0954866900267719E-2</v>
      </c>
      <c r="D11" s="4">
        <f>IFERROR(Merged_data[[#This Row],[AAPL_Close]]/Merged_data!B10-1,"")</f>
        <v>-3.265174314560082E-3</v>
      </c>
      <c r="E11" s="18">
        <f t="shared" si="0"/>
        <v>1.2928702997661809E-2</v>
      </c>
      <c r="F11" s="19">
        <f t="shared" si="1"/>
        <v>12928.702997661809</v>
      </c>
      <c r="G11" t="b">
        <f t="shared" si="2"/>
        <v>0</v>
      </c>
      <c r="H11" t="b">
        <f t="shared" si="3"/>
        <v>0</v>
      </c>
      <c r="I11" t="b">
        <f t="shared" ca="1" si="4"/>
        <v>0</v>
      </c>
      <c r="J11" s="25"/>
    </row>
    <row r="12" spans="1:13" x14ac:dyDescent="0.25">
      <c r="A12" s="1">
        <v>45603</v>
      </c>
      <c r="B12" s="4">
        <f>IFERROR(Merged_data[[#This Row],[BTCUSD_Close]]/Merged_data!D11-1,"")</f>
        <v>2.9609918067334817E-3</v>
      </c>
      <c r="C12" s="4">
        <f>IFERROR(Merged_data[[#This Row],[XAUUSD_Close]]/Merged_data!C11-1, "")</f>
        <v>1.7846565791230562E-2</v>
      </c>
      <c r="D12" s="4">
        <f>IFERROR(Merged_data[[#This Row],[AAPL_Close]]/Merged_data!B11-1,"")</f>
        <v>2.1369655898592077E-2</v>
      </c>
      <c r="E12" s="18">
        <f t="shared" si="0"/>
        <v>1.4437820628089893E-2</v>
      </c>
      <c r="F12" s="19">
        <f t="shared" si="1"/>
        <v>14437.820628089894</v>
      </c>
      <c r="G12" t="b">
        <f t="shared" si="2"/>
        <v>0</v>
      </c>
      <c r="H12" t="b">
        <f t="shared" si="3"/>
        <v>0</v>
      </c>
      <c r="I12" t="b">
        <f t="shared" ca="1" si="4"/>
        <v>0</v>
      </c>
      <c r="J12" s="6" t="s">
        <v>78</v>
      </c>
      <c r="K12" s="9" t="s">
        <v>31</v>
      </c>
      <c r="L12" s="9" t="s">
        <v>32</v>
      </c>
      <c r="M12" s="9" t="s">
        <v>60</v>
      </c>
    </row>
    <row r="13" spans="1:13" x14ac:dyDescent="0.25">
      <c r="A13" s="1">
        <v>45604</v>
      </c>
      <c r="B13" s="4">
        <f>IFERROR(Merged_data[[#This Row],[BTCUSD_Close]]/Merged_data!D12-1,"")</f>
        <v>1.0137244724548911E-2</v>
      </c>
      <c r="C13" s="4">
        <f>IFERROR(Merged_data[[#This Row],[XAUUSD_Close]]/Merged_data!C12-1, "")</f>
        <v>-7.8846928332059196E-3</v>
      </c>
      <c r="D13" s="4">
        <f>IFERROR(Merged_data[[#This Row],[AAPL_Close]]/Merged_data!B12-1,"")</f>
        <v>-1.1851264428582864E-3</v>
      </c>
      <c r="E13" s="18">
        <f t="shared" si="0"/>
        <v>-4.6824164877518087E-4</v>
      </c>
      <c r="F13" s="19">
        <f t="shared" si="1"/>
        <v>468.24164877518086</v>
      </c>
      <c r="G13" t="b">
        <f t="shared" si="2"/>
        <v>0</v>
      </c>
      <c r="H13" t="b">
        <f t="shared" si="3"/>
        <v>0</v>
      </c>
      <c r="I13" t="b">
        <f t="shared" ca="1" si="4"/>
        <v>0</v>
      </c>
      <c r="J13" s="9" t="s">
        <v>33</v>
      </c>
      <c r="K13" s="2">
        <v>0.01</v>
      </c>
      <c r="L13" s="2">
        <v>0.01</v>
      </c>
      <c r="M13" s="2">
        <v>0.01</v>
      </c>
    </row>
    <row r="14" spans="1:13" x14ac:dyDescent="0.25">
      <c r="A14" s="1">
        <v>45607</v>
      </c>
      <c r="B14" s="4">
        <f>IFERROR(Merged_data[[#This Row],[BTCUSD_Close]]/Merged_data!D13-1,"")</f>
        <v>0.14953500170192902</v>
      </c>
      <c r="C14" s="4">
        <f>IFERROR(Merged_data[[#This Row],[XAUUSD_Close]]/Merged_data!C13-1, "")</f>
        <v>-2.4441655463155021E-2</v>
      </c>
      <c r="D14" s="4">
        <f>IFERROR(Merged_data[[#This Row],[AAPL_Close]]/Merged_data!B13-1,"")</f>
        <v>-1.2028529714041225E-2</v>
      </c>
      <c r="E14" s="18">
        <f t="shared" si="0"/>
        <v>3.1475279411104326E-2</v>
      </c>
      <c r="F14" s="19">
        <f t="shared" si="1"/>
        <v>31475.279411104326</v>
      </c>
      <c r="G14" t="b">
        <f t="shared" si="2"/>
        <v>0</v>
      </c>
      <c r="H14" t="b">
        <f t="shared" si="3"/>
        <v>1</v>
      </c>
      <c r="I14" t="b">
        <f t="shared" ca="1" si="4"/>
        <v>0</v>
      </c>
      <c r="J14" s="9" t="s">
        <v>34</v>
      </c>
      <c r="K14">
        <f>COUNTIF(G3:G252, TRUE)</f>
        <v>6</v>
      </c>
      <c r="L14">
        <f>COUNTIF(H3:H252, TRUE)</f>
        <v>8</v>
      </c>
      <c r="M14">
        <f ca="1">COUNTIF(I3:I251, TRUE)</f>
        <v>3</v>
      </c>
    </row>
    <row r="15" spans="1:13" x14ac:dyDescent="0.25">
      <c r="A15" s="1">
        <v>45608</v>
      </c>
      <c r="B15" s="4">
        <f>IFERROR(Merged_data[[#This Row],[BTCUSD_Close]]/Merged_data!D14-1,"")</f>
        <v>5.6112915613935055E-3</v>
      </c>
      <c r="C15" s="4">
        <f>IFERROR(Merged_data[[#This Row],[XAUUSD_Close]]/Merged_data!C14-1, "")</f>
        <v>-8.1178374829168343E-3</v>
      </c>
      <c r="D15" s="4">
        <f>IFERROR(Merged_data[[#This Row],[AAPL_Close]]/Merged_data!B14-1,"")</f>
        <v>0</v>
      </c>
      <c r="E15" s="18">
        <f t="shared" si="0"/>
        <v>-1.5637475247486821E-3</v>
      </c>
      <c r="F15" s="19">
        <f t="shared" si="1"/>
        <v>1563.7475247486821</v>
      </c>
      <c r="G15" t="b">
        <f t="shared" si="2"/>
        <v>0</v>
      </c>
      <c r="H15" t="b">
        <f t="shared" si="3"/>
        <v>0</v>
      </c>
      <c r="I15" t="b">
        <f t="shared" ca="1" si="4"/>
        <v>0</v>
      </c>
      <c r="J15" s="9" t="s">
        <v>35</v>
      </c>
      <c r="K15">
        <f>COUNT(F3:F251)</f>
        <v>249</v>
      </c>
      <c r="L15">
        <f>COUNT(F3:F251)</f>
        <v>249</v>
      </c>
      <c r="M15">
        <f>COUNT(F3:F251)</f>
        <v>249</v>
      </c>
    </row>
    <row r="16" spans="1:13" x14ac:dyDescent="0.25">
      <c r="A16" s="1">
        <v>45609</v>
      </c>
      <c r="B16" s="4">
        <f>IFERROR(Merged_data[[#This Row],[BTCUSD_Close]]/Merged_data!D15-1,"")</f>
        <v>1.2937973765291044E-2</v>
      </c>
      <c r="C16" s="4">
        <f>IFERROR(Merged_data[[#This Row],[XAUUSD_Close]]/Merged_data!C15-1, "")</f>
        <v>-9.7526243373007304E-3</v>
      </c>
      <c r="D16" s="4">
        <f>IFERROR(Merged_data[[#This Row],[AAPL_Close]]/Merged_data!B15-1,"")</f>
        <v>3.9690335023929713E-3</v>
      </c>
      <c r="E16" s="18">
        <f t="shared" si="0"/>
        <v>1.171052445384912E-3</v>
      </c>
      <c r="F16" s="19">
        <f t="shared" si="1"/>
        <v>1171.0524453849121</v>
      </c>
      <c r="G16" t="b">
        <f t="shared" si="2"/>
        <v>0</v>
      </c>
      <c r="H16" t="b">
        <f t="shared" si="3"/>
        <v>0</v>
      </c>
      <c r="I16" t="b">
        <f t="shared" ca="1" si="4"/>
        <v>0</v>
      </c>
      <c r="J16" s="9" t="s">
        <v>36</v>
      </c>
      <c r="K16" s="4">
        <f>K14/K15</f>
        <v>2.4096385542168676E-2</v>
      </c>
      <c r="L16" s="4">
        <f>L14/L15</f>
        <v>3.2128514056224897E-2</v>
      </c>
      <c r="M16" s="23">
        <f ca="1">M14/M15</f>
        <v>1.2048192771084338E-2</v>
      </c>
    </row>
    <row r="17" spans="1:13" x14ac:dyDescent="0.25">
      <c r="A17" s="1">
        <v>45610</v>
      </c>
      <c r="B17" s="4">
        <f>IFERROR(Merged_data[[#This Row],[BTCUSD_Close]]/Merged_data!D16-1,"")</f>
        <v>-2.3017182138239001E-2</v>
      </c>
      <c r="C17" s="4">
        <f>IFERROR(Merged_data[[#This Row],[XAUUSD_Close]]/Merged_data!C16-1, "")</f>
        <v>-3.0645935478353925E-3</v>
      </c>
      <c r="D17" s="4">
        <f>IFERROR(Merged_data[[#This Row],[AAPL_Close]]/Merged_data!B16-1,"")</f>
        <v>1.3767771141933505E-2</v>
      </c>
      <c r="E17" s="18">
        <f t="shared" si="0"/>
        <v>-4.000660718025806E-3</v>
      </c>
      <c r="F17" s="19">
        <f t="shared" si="1"/>
        <v>4000.6607180258061</v>
      </c>
      <c r="G17" t="b">
        <f t="shared" si="2"/>
        <v>0</v>
      </c>
      <c r="H17" t="b">
        <f t="shared" si="3"/>
        <v>0</v>
      </c>
      <c r="I17" t="b">
        <f t="shared" ca="1" si="4"/>
        <v>0</v>
      </c>
      <c r="J17" s="9" t="s">
        <v>37</v>
      </c>
      <c r="K17">
        <f>-2*LN(((K13^K14)*(1-K13)^(K15-K14))/((K14/K15)^K14*(1-(K14/K15))^(K15-K14)))</f>
        <v>3.583938111477639</v>
      </c>
      <c r="L17">
        <f>-2*LN(((L13^L14)*(1-L13)^(L15-L14))/((L14/L15)^L14*(1-(L14/L15))^(L15-L14)))</f>
        <v>7.7786290271458753</v>
      </c>
      <c r="M17">
        <f ca="1">-2*LN(((M13^M14)*(1-M13)^(M15-M14))/((M14/M15)^M14*(1-(M14/M15))^(M15-M14)))</f>
        <v>9.90333271580187E-2</v>
      </c>
    </row>
    <row r="18" spans="1:13" x14ac:dyDescent="0.25">
      <c r="A18" s="1">
        <v>45611</v>
      </c>
      <c r="B18" s="4">
        <f>IFERROR(Merged_data[[#This Row],[BTCUSD_Close]]/Merged_data!D17-1,"")</f>
        <v>4.06390898157174E-2</v>
      </c>
      <c r="C18" s="4">
        <f>IFERROR(Merged_data[[#This Row],[XAUUSD_Close]]/Merged_data!C17-1, "")</f>
        <v>-1.0604081791778519E-3</v>
      </c>
      <c r="D18" s="4">
        <f>IFERROR(Merged_data[[#This Row],[AAPL_Close]]/Merged_data!B17-1,"")</f>
        <v>-1.4107181239554567E-2</v>
      </c>
      <c r="E18" s="18">
        <f t="shared" si="0"/>
        <v>7.5354093011777085E-3</v>
      </c>
      <c r="F18" s="19">
        <f t="shared" si="1"/>
        <v>7535.4093011777086</v>
      </c>
      <c r="G18" t="b">
        <f t="shared" si="2"/>
        <v>0</v>
      </c>
      <c r="H18" t="b">
        <f t="shared" si="3"/>
        <v>0</v>
      </c>
      <c r="I18" t="b">
        <f t="shared" ca="1" si="4"/>
        <v>0</v>
      </c>
      <c r="J18" s="9" t="s">
        <v>38</v>
      </c>
      <c r="K18" s="4">
        <f>_xlfn.CHISQ.DIST.RT(K17,1)</f>
        <v>5.8340691833682082E-2</v>
      </c>
      <c r="L18" s="4">
        <f>_xlfn.CHISQ.DIST.RT(L17,1)</f>
        <v>5.2867903501268628E-3</v>
      </c>
      <c r="M18" s="23">
        <f ca="1">_xlfn.CHISQ.DIST.RT(M17,1)</f>
        <v>0.75299277749896165</v>
      </c>
    </row>
    <row r="19" spans="1:13" x14ac:dyDescent="0.25">
      <c r="A19" s="1">
        <v>45614</v>
      </c>
      <c r="B19" s="4">
        <f>IFERROR(Merged_data[[#This Row],[BTCUSD_Close]]/Merged_data!D18-1,"")</f>
        <v>-4.8311136867318361E-4</v>
      </c>
      <c r="C19" s="4">
        <f>IFERROR(Merged_data[[#This Row],[XAUUSD_Close]]/Merged_data!C18-1, "")</f>
        <v>1.9333965570398792E-2</v>
      </c>
      <c r="D19" s="4">
        <f>IFERROR(Merged_data[[#This Row],[AAPL_Close]]/Merged_data!B18-1,"")</f>
        <v>1.3423625046161902E-2</v>
      </c>
      <c r="E19" s="18">
        <f t="shared" si="0"/>
        <v>1.1615740331406133E-2</v>
      </c>
      <c r="F19" s="19">
        <f t="shared" si="1"/>
        <v>11615.740331406132</v>
      </c>
      <c r="G19" t="b">
        <f t="shared" si="2"/>
        <v>0</v>
      </c>
      <c r="H19" t="b">
        <f t="shared" si="3"/>
        <v>0</v>
      </c>
      <c r="I19" t="b">
        <f t="shared" ca="1" si="4"/>
        <v>0</v>
      </c>
      <c r="J19" s="9" t="s">
        <v>39</v>
      </c>
      <c r="K19" s="9" t="str">
        <f>IF(K18 &gt; $L$5, "Reliable", "Not Reliable")</f>
        <v>Reliable</v>
      </c>
      <c r="L19" s="9" t="str">
        <f>IF(L18 &gt; $L$5, "Reliable", "Not Reliable")</f>
        <v>Not Reliable</v>
      </c>
      <c r="M19" s="9" t="str">
        <f ca="1">IF(M18 &gt; $L$5, "Reliable", "Not Reliable")</f>
        <v>Reliable</v>
      </c>
    </row>
    <row r="20" spans="1:13" x14ac:dyDescent="0.25">
      <c r="A20" s="1">
        <v>45615</v>
      </c>
      <c r="B20" s="4">
        <f>IFERROR(Merged_data[[#This Row],[BTCUSD_Close]]/Merged_data!D19-1,"")</f>
        <v>7.703925505703868E-3</v>
      </c>
      <c r="C20" s="4">
        <f>IFERROR(Merged_data[[#This Row],[XAUUSD_Close]]/Merged_data!C19-1, "")</f>
        <v>7.8085815909674228E-3</v>
      </c>
      <c r="D20" s="4">
        <f>IFERROR(Merged_data[[#This Row],[AAPL_Close]]/Merged_data!B19-1,"")</f>
        <v>1.137111998946283E-3</v>
      </c>
      <c r="E20" s="18">
        <f t="shared" si="0"/>
        <v>5.7757438877820144E-3</v>
      </c>
      <c r="F20" s="19">
        <f t="shared" si="1"/>
        <v>5775.7438877820141</v>
      </c>
      <c r="G20" t="b">
        <f t="shared" si="2"/>
        <v>0</v>
      </c>
      <c r="H20" t="b">
        <f t="shared" si="3"/>
        <v>0</v>
      </c>
      <c r="I20" t="b">
        <f t="shared" ca="1" si="4"/>
        <v>0</v>
      </c>
    </row>
    <row r="21" spans="1:13" x14ac:dyDescent="0.25">
      <c r="A21" s="1">
        <v>45616</v>
      </c>
      <c r="B21" s="4">
        <f>IFERROR(Merged_data[[#This Row],[BTCUSD_Close]]/Merged_data!D20-1,"")</f>
        <v>2.4838458116575479E-2</v>
      </c>
      <c r="C21" s="4">
        <f>IFERROR(Merged_data[[#This Row],[XAUUSD_Close]]/Merged_data!C20-1, "")</f>
        <v>6.8382172767560423E-3</v>
      </c>
      <c r="D21" s="4">
        <f>IFERROR(Merged_data[[#This Row],[AAPL_Close]]/Merged_data!B20-1,"")</f>
        <v>3.1531077187549883E-3</v>
      </c>
      <c r="E21" s="18">
        <f t="shared" si="0"/>
        <v>1.1132756661301558E-2</v>
      </c>
      <c r="F21" s="19">
        <f t="shared" si="1"/>
        <v>11132.756661301557</v>
      </c>
      <c r="G21" t="b">
        <f t="shared" si="2"/>
        <v>0</v>
      </c>
      <c r="H21" t="b">
        <f t="shared" si="3"/>
        <v>0</v>
      </c>
      <c r="I21" t="b">
        <f t="shared" ca="1" si="4"/>
        <v>0</v>
      </c>
    </row>
    <row r="22" spans="1:13" x14ac:dyDescent="0.25">
      <c r="A22" s="1">
        <v>45617</v>
      </c>
      <c r="B22" s="4">
        <f>IFERROR(Merged_data[[#This Row],[BTCUSD_Close]]/Merged_data!D21-1,"")</f>
        <v>4.4587575801956714E-2</v>
      </c>
      <c r="C22" s="4">
        <f>IFERROR(Merged_data[[#This Row],[XAUUSD_Close]]/Merged_data!C21-1, "")</f>
        <v>7.3200227147096619E-3</v>
      </c>
      <c r="D22" s="4">
        <f>IFERROR(Merged_data[[#This Row],[AAPL_Close]]/Merged_data!B21-1,"")</f>
        <v>-2.094007379299434E-3</v>
      </c>
      <c r="E22" s="18">
        <f t="shared" si="0"/>
        <v>1.5676079612681047E-2</v>
      </c>
      <c r="F22" s="19">
        <f t="shared" si="1"/>
        <v>15676.079612681047</v>
      </c>
      <c r="G22" t="b">
        <f t="shared" si="2"/>
        <v>0</v>
      </c>
      <c r="H22" t="b">
        <f t="shared" si="3"/>
        <v>0</v>
      </c>
      <c r="I22" t="b">
        <f t="shared" ca="1" si="4"/>
        <v>0</v>
      </c>
    </row>
    <row r="23" spans="1:13" x14ac:dyDescent="0.25">
      <c r="A23" s="1">
        <v>45618</v>
      </c>
      <c r="B23" s="4">
        <f>IFERROR(Merged_data[[#This Row],[BTCUSD_Close]]/Merged_data!D22-1,"")</f>
        <v>7.7468502069044654E-3</v>
      </c>
      <c r="C23" s="4">
        <f>IFERROR(Merged_data[[#This Row],[XAUUSD_Close]]/Merged_data!C22-1, "")</f>
        <v>1.3591592952673759E-2</v>
      </c>
      <c r="D23" s="4">
        <f>IFERROR(Merged_data[[#This Row],[AAPL_Close]]/Merged_data!B22-1,"")</f>
        <v>5.9096942642233863E-3</v>
      </c>
      <c r="E23" s="18">
        <f t="shared" si="0"/>
        <v>9.5336005224078597E-3</v>
      </c>
      <c r="F23" s="19">
        <f t="shared" si="1"/>
        <v>9533.6005224078599</v>
      </c>
      <c r="G23" t="b">
        <f t="shared" si="2"/>
        <v>0</v>
      </c>
      <c r="H23" t="b">
        <f t="shared" si="3"/>
        <v>0</v>
      </c>
      <c r="I23" t="b">
        <f t="shared" ca="1" si="4"/>
        <v>0</v>
      </c>
    </row>
    <row r="24" spans="1:13" x14ac:dyDescent="0.25">
      <c r="A24" s="1">
        <v>45621</v>
      </c>
      <c r="B24" s="4">
        <f>IFERROR(Merged_data[[#This Row],[BTCUSD_Close]]/Merged_data!D23-1,"")</f>
        <v>-4.8555493721116005E-2</v>
      </c>
      <c r="C24" s="4">
        <f>IFERROR(Merged_data[[#This Row],[XAUUSD_Close]]/Merged_data!C23-1, "")</f>
        <v>-2.9830558583861411E-2</v>
      </c>
      <c r="D24" s="4">
        <f>IFERROR(Merged_data[[#This Row],[AAPL_Close]]/Merged_data!B23-1,"")</f>
        <v>1.3047757579980779E-2</v>
      </c>
      <c r="E24" s="18">
        <f t="shared" si="0"/>
        <v>-2.2584544275885132E-2</v>
      </c>
      <c r="F24" s="19">
        <f t="shared" si="1"/>
        <v>22584.544275885131</v>
      </c>
      <c r="G24" t="b">
        <f t="shared" si="2"/>
        <v>0</v>
      </c>
      <c r="H24" t="b">
        <f t="shared" si="3"/>
        <v>0</v>
      </c>
      <c r="I24" t="b">
        <f t="shared" ca="1" si="4"/>
        <v>0</v>
      </c>
    </row>
    <row r="25" spans="1:13" x14ac:dyDescent="0.25">
      <c r="A25" s="1">
        <v>45622</v>
      </c>
      <c r="B25" s="4">
        <f>IFERROR(Merged_data[[#This Row],[BTCUSD_Close]]/Merged_data!D24-1,"")</f>
        <v>-2.7746165762810304E-2</v>
      </c>
      <c r="C25" s="4">
        <f>IFERROR(Merged_data[[#This Row],[XAUUSD_Close]]/Merged_data!C24-1, "")</f>
        <v>3.0454474465093639E-3</v>
      </c>
      <c r="D25" s="4">
        <f>IFERROR(Merged_data[[#This Row],[AAPL_Close]]/Merged_data!B24-1,"")</f>
        <v>9.4061406450169915E-3</v>
      </c>
      <c r="E25" s="18">
        <f t="shared" si="0"/>
        <v>-4.2838285567342489E-3</v>
      </c>
      <c r="F25" s="19">
        <f t="shared" si="1"/>
        <v>4283.8285567342491</v>
      </c>
      <c r="G25" t="b">
        <f t="shared" si="2"/>
        <v>0</v>
      </c>
      <c r="H25" t="b">
        <f t="shared" si="3"/>
        <v>0</v>
      </c>
      <c r="I25" t="b">
        <f t="shared" ca="1" si="4"/>
        <v>0</v>
      </c>
    </row>
    <row r="26" spans="1:13" x14ac:dyDescent="0.25">
      <c r="A26" s="1">
        <v>45623</v>
      </c>
      <c r="B26" s="4">
        <f>IFERROR(Merged_data[[#This Row],[BTCUSD_Close]]/Merged_data!D25-1,"")</f>
        <v>4.7709713595677217E-2</v>
      </c>
      <c r="C26" s="4">
        <f>IFERROR(Merged_data[[#This Row],[XAUUSD_Close]]/Merged_data!C25-1, "")</f>
        <v>1.0329538873434796E-3</v>
      </c>
      <c r="D26" s="4">
        <f>IFERROR(Merged_data[[#This Row],[AAPL_Close]]/Merged_data!B25-1,"")</f>
        <v>-5.5365797565609665E-4</v>
      </c>
      <c r="E26" s="18">
        <f t="shared" si="0"/>
        <v>1.4559998240943728E-2</v>
      </c>
      <c r="F26" s="19">
        <f t="shared" si="1"/>
        <v>14559.998240943727</v>
      </c>
      <c r="G26" t="b">
        <f t="shared" si="2"/>
        <v>0</v>
      </c>
      <c r="H26" t="b">
        <f t="shared" si="3"/>
        <v>0</v>
      </c>
      <c r="I26" t="b">
        <f t="shared" ca="1" si="4"/>
        <v>0</v>
      </c>
    </row>
    <row r="27" spans="1:13" x14ac:dyDescent="0.25">
      <c r="A27" s="1">
        <v>45625</v>
      </c>
      <c r="B27" s="4">
        <f>IFERROR(Merged_data[[#This Row],[BTCUSD_Close]]/Merged_data!D26-1,"")</f>
        <v>1.2912386549814192E-2</v>
      </c>
      <c r="C27" s="4">
        <f>IFERROR(Merged_data[[#This Row],[XAUUSD_Close]]/Merged_data!C26-1, "")</f>
        <v>5.504667206637448E-3</v>
      </c>
      <c r="D27" s="4">
        <f>IFERROR(Merged_data[[#This Row],[AAPL_Close]]/Merged_data!B26-1,"")</f>
        <v>1.0214256494170515E-2</v>
      </c>
      <c r="E27" s="18">
        <f t="shared" si="0"/>
        <v>9.139859795850391E-3</v>
      </c>
      <c r="F27" s="19">
        <f t="shared" si="1"/>
        <v>9139.8597958503906</v>
      </c>
      <c r="G27" t="b">
        <f t="shared" si="2"/>
        <v>0</v>
      </c>
      <c r="H27" t="b">
        <f t="shared" si="3"/>
        <v>0</v>
      </c>
      <c r="I27" t="b">
        <f t="shared" ca="1" si="4"/>
        <v>0</v>
      </c>
    </row>
    <row r="28" spans="1:13" x14ac:dyDescent="0.25">
      <c r="A28" s="1">
        <v>45628</v>
      </c>
      <c r="B28" s="4">
        <f>IFERROR(Merged_data[[#This Row],[BTCUSD_Close]]/Merged_data!D27-1,"")</f>
        <v>-2.0207694472229698E-2</v>
      </c>
      <c r="C28" s="4">
        <f>IFERROR(Merged_data[[#This Row],[XAUUSD_Close]]/Merged_data!C27-1, "")</f>
        <v>-4.2992618248565151E-3</v>
      </c>
      <c r="D28" s="4">
        <f>IFERROR(Merged_data[[#This Row],[AAPL_Close]]/Merged_data!B27-1,"")</f>
        <v>9.5246531600505779E-3</v>
      </c>
      <c r="E28" s="18">
        <f t="shared" si="0"/>
        <v>-4.9246171235963424E-3</v>
      </c>
      <c r="F28" s="19">
        <f t="shared" si="1"/>
        <v>4924.617123596342</v>
      </c>
      <c r="G28" t="b">
        <f t="shared" si="2"/>
        <v>0</v>
      </c>
      <c r="H28" t="b">
        <f t="shared" si="3"/>
        <v>0</v>
      </c>
      <c r="I28" t="b">
        <f t="shared" ca="1" si="4"/>
        <v>0</v>
      </c>
    </row>
    <row r="29" spans="1:13" x14ac:dyDescent="0.25">
      <c r="A29" s="1">
        <v>45629</v>
      </c>
      <c r="B29" s="4">
        <f>IFERROR(Merged_data[[#This Row],[BTCUSD_Close]]/Merged_data!D28-1,"")</f>
        <v>7.8076768676216268E-3</v>
      </c>
      <c r="C29" s="4">
        <f>IFERROR(Merged_data[[#This Row],[XAUUSD_Close]]/Merged_data!C28-1, "")</f>
        <v>1.7449394860291623E-3</v>
      </c>
      <c r="D29" s="4">
        <f>IFERROR(Merged_data[[#This Row],[AAPL_Close]]/Merged_data!B28-1,"")</f>
        <v>1.2773318513999543E-2</v>
      </c>
      <c r="E29" s="18">
        <f t="shared" si="0"/>
        <v>6.8722744088980155E-3</v>
      </c>
      <c r="F29" s="19">
        <f t="shared" si="1"/>
        <v>6872.2744088980153</v>
      </c>
      <c r="G29" t="b">
        <f t="shared" si="2"/>
        <v>0</v>
      </c>
      <c r="H29" t="b">
        <f t="shared" si="3"/>
        <v>0</v>
      </c>
      <c r="I29" t="b">
        <f t="shared" ca="1" si="4"/>
        <v>0</v>
      </c>
    </row>
    <row r="30" spans="1:13" x14ac:dyDescent="0.25">
      <c r="A30" s="1">
        <v>45630</v>
      </c>
      <c r="B30" s="4">
        <f>IFERROR(Merged_data[[#This Row],[BTCUSD_Close]]/Merged_data!D29-1,"")</f>
        <v>2.2484425538995989E-2</v>
      </c>
      <c r="C30" s="4">
        <f>IFERROR(Merged_data[[#This Row],[XAUUSD_Close]]/Merged_data!C29-1, "")</f>
        <v>2.4322294995773319E-3</v>
      </c>
      <c r="D30" s="4">
        <f>IFERROR(Merged_data[[#This Row],[AAPL_Close]]/Merged_data!B29-1,"")</f>
        <v>1.4811208660638897E-3</v>
      </c>
      <c r="E30" s="18">
        <f t="shared" si="0"/>
        <v>8.1625557213488957E-3</v>
      </c>
      <c r="F30" s="19">
        <f t="shared" si="1"/>
        <v>8162.5557213488955</v>
      </c>
      <c r="G30" t="b">
        <f t="shared" si="2"/>
        <v>0</v>
      </c>
      <c r="H30" t="b">
        <f t="shared" si="3"/>
        <v>0</v>
      </c>
      <c r="I30" t="b">
        <f t="shared" ca="1" si="4"/>
        <v>0</v>
      </c>
    </row>
    <row r="31" spans="1:13" x14ac:dyDescent="0.25">
      <c r="A31" s="1">
        <v>45631</v>
      </c>
      <c r="B31" s="4">
        <f>IFERROR(Merged_data[[#This Row],[BTCUSD_Close]]/Merged_data!D30-1,"")</f>
        <v>-1.6020278112027997E-2</v>
      </c>
      <c r="C31" s="4">
        <f>IFERROR(Merged_data[[#This Row],[XAUUSD_Close]]/Merged_data!C30-1, "")</f>
        <v>-6.8337172818331293E-3</v>
      </c>
      <c r="D31" s="4">
        <f>IFERROR(Merged_data[[#This Row],[AAPL_Close]]/Merged_data!B30-1,"")</f>
        <v>1.2358749788865531E-4</v>
      </c>
      <c r="E31" s="18">
        <f t="shared" si="0"/>
        <v>-7.5024940969750549E-3</v>
      </c>
      <c r="F31" s="19">
        <f t="shared" si="1"/>
        <v>7502.4940969750551</v>
      </c>
      <c r="G31" t="b">
        <f t="shared" si="2"/>
        <v>0</v>
      </c>
      <c r="H31" t="b">
        <f t="shared" si="3"/>
        <v>0</v>
      </c>
      <c r="I31" t="b">
        <f t="shared" ca="1" si="4"/>
        <v>0</v>
      </c>
    </row>
    <row r="32" spans="1:13" x14ac:dyDescent="0.25">
      <c r="A32" s="1">
        <v>45632</v>
      </c>
      <c r="B32" s="4">
        <f>IFERROR(Merged_data[[#This Row],[BTCUSD_Close]]/Merged_data!D31-1,"")</f>
        <v>4.9402560940438045E-2</v>
      </c>
      <c r="C32" s="4">
        <f>IFERROR(Merged_data[[#This Row],[XAUUSD_Close]]/Merged_data!C31-1, "")</f>
        <v>0</v>
      </c>
      <c r="D32" s="4">
        <f>IFERROR(Merged_data[[#This Row],[AAPL_Close]]/Merged_data!B31-1,"")</f>
        <v>-8.2381483937665756E-4</v>
      </c>
      <c r="E32" s="18">
        <f t="shared" si="0"/>
        <v>1.4573623830318416E-2</v>
      </c>
      <c r="F32" s="19">
        <f t="shared" si="1"/>
        <v>14573.623830318416</v>
      </c>
      <c r="G32" t="b">
        <f t="shared" si="2"/>
        <v>0</v>
      </c>
      <c r="H32" t="b">
        <f t="shared" si="3"/>
        <v>0</v>
      </c>
      <c r="I32" t="b">
        <f t="shared" ca="1" si="4"/>
        <v>0</v>
      </c>
    </row>
    <row r="33" spans="1:9" x14ac:dyDescent="0.25">
      <c r="A33" s="1">
        <v>45635</v>
      </c>
      <c r="B33" s="4">
        <f>IFERROR(Merged_data[[#This Row],[BTCUSD_Close]]/Merged_data!D32-1,"")</f>
        <v>-4.4561994542785976E-2</v>
      </c>
      <c r="C33" s="4">
        <f>IFERROR(Merged_data[[#This Row],[XAUUSD_Close]]/Merged_data!C32-1, "")</f>
        <v>1.0794134465051952E-2</v>
      </c>
      <c r="D33" s="4">
        <f>IFERROR(Merged_data[[#This Row],[AAPL_Close]]/Merged_data!B32-1,"")</f>
        <v>1.6102369183709664E-2</v>
      </c>
      <c r="E33" s="18">
        <f t="shared" si="0"/>
        <v>-4.2202338217021138E-3</v>
      </c>
      <c r="F33" s="19">
        <f t="shared" si="1"/>
        <v>4220.2338217021133</v>
      </c>
      <c r="G33" t="b">
        <f t="shared" si="2"/>
        <v>0</v>
      </c>
      <c r="H33" t="b">
        <f t="shared" si="3"/>
        <v>0</v>
      </c>
      <c r="I33" t="b">
        <f t="shared" ca="1" si="4"/>
        <v>0</v>
      </c>
    </row>
    <row r="34" spans="1:9" x14ac:dyDescent="0.25">
      <c r="A34" s="1">
        <v>45636</v>
      </c>
      <c r="B34" s="4">
        <f>IFERROR(Merged_data[[#This Row],[BTCUSD_Close]]/Merged_data!D33-1,"")</f>
        <v>-9.7945010578059932E-4</v>
      </c>
      <c r="C34" s="4">
        <f>IFERROR(Merged_data[[#This Row],[XAUUSD_Close]]/Merged_data!C33-1, "")</f>
        <v>1.2610909282268379E-2</v>
      </c>
      <c r="D34" s="4">
        <f>IFERROR(Merged_data[[#This Row],[AAPL_Close]]/Merged_data!B33-1,"")</f>
        <v>4.1342264452548516E-3</v>
      </c>
      <c r="E34" s="18">
        <f t="shared" si="0"/>
        <v>5.9907966147496276E-3</v>
      </c>
      <c r="F34" s="19">
        <f t="shared" si="1"/>
        <v>5990.7966147496272</v>
      </c>
      <c r="G34" t="b">
        <f t="shared" si="2"/>
        <v>0</v>
      </c>
      <c r="H34" t="b">
        <f t="shared" si="3"/>
        <v>0</v>
      </c>
      <c r="I34" t="b">
        <f t="shared" ca="1" si="4"/>
        <v>0</v>
      </c>
    </row>
    <row r="35" spans="1:9" x14ac:dyDescent="0.25">
      <c r="A35" s="1">
        <v>45637</v>
      </c>
      <c r="B35" s="4">
        <f>IFERROR(Merged_data[[#This Row],[BTCUSD_Close]]/Merged_data!D34-1,"")</f>
        <v>4.4931691197566126E-2</v>
      </c>
      <c r="C35" s="4">
        <f>IFERROR(Merged_data[[#This Row],[XAUUSD_Close]]/Merged_data!C34-1, "")</f>
        <v>8.9775403729475123E-3</v>
      </c>
      <c r="D35" s="4">
        <f>IFERROR(Merged_data[[#This Row],[AAPL_Close]]/Merged_data!B34-1,"")</f>
        <v>-5.1677185270183612E-3</v>
      </c>
      <c r="E35" s="18">
        <f t="shared" si="0"/>
        <v>1.5520207950343335E-2</v>
      </c>
      <c r="F35" s="19">
        <f t="shared" si="1"/>
        <v>15520.207950343334</v>
      </c>
      <c r="G35" t="b">
        <f t="shared" si="2"/>
        <v>0</v>
      </c>
      <c r="H35" t="b">
        <f t="shared" si="3"/>
        <v>0</v>
      </c>
      <c r="I35" t="b">
        <f t="shared" ca="1" si="4"/>
        <v>0</v>
      </c>
    </row>
    <row r="36" spans="1:9" x14ac:dyDescent="0.25">
      <c r="A36" s="1">
        <v>45638</v>
      </c>
      <c r="B36" s="4">
        <f>IFERROR(Merged_data[[#This Row],[BTCUSD_Close]]/Merged_data!D35-1,"")</f>
        <v>-7.7529332753920599E-3</v>
      </c>
      <c r="C36" s="4">
        <f>IFERROR(Merged_data[[#This Row],[XAUUSD_Close]]/Merged_data!C35-1, "")</f>
        <v>-1.3709793129835668E-2</v>
      </c>
      <c r="D36" s="4">
        <f>IFERROR(Merged_data[[#This Row],[AAPL_Close]]/Merged_data!B35-1,"")</f>
        <v>5.9662333126200284E-3</v>
      </c>
      <c r="E36" s="18">
        <f t="shared" si="0"/>
        <v>-6.0199272407658764E-3</v>
      </c>
      <c r="F36" s="19">
        <f t="shared" si="1"/>
        <v>6019.9272407658764</v>
      </c>
      <c r="G36" t="b">
        <f t="shared" si="2"/>
        <v>0</v>
      </c>
      <c r="H36" t="b">
        <f t="shared" si="3"/>
        <v>0</v>
      </c>
      <c r="I36" t="b">
        <f t="shared" ca="1" si="4"/>
        <v>0</v>
      </c>
    </row>
    <row r="37" spans="1:9" x14ac:dyDescent="0.25">
      <c r="A37" s="1">
        <v>45639</v>
      </c>
      <c r="B37" s="4">
        <f>IFERROR(Merged_data[[#This Row],[BTCUSD_Close]]/Merged_data!D36-1,"")</f>
        <v>1.158589387560105E-2</v>
      </c>
      <c r="C37" s="4">
        <f>IFERROR(Merged_data[[#This Row],[XAUUSD_Close]]/Merged_data!C36-1, "")</f>
        <v>-1.2363546840292172E-2</v>
      </c>
      <c r="D37" s="4">
        <f>IFERROR(Merged_data[[#This Row],[AAPL_Close]]/Merged_data!B36-1,"")</f>
        <v>6.8231000290697175E-4</v>
      </c>
      <c r="E37" s="18">
        <f t="shared" si="0"/>
        <v>-1.2649575725644626E-3</v>
      </c>
      <c r="F37" s="19">
        <f t="shared" si="1"/>
        <v>1264.9575725644627</v>
      </c>
      <c r="G37" t="b">
        <f t="shared" si="2"/>
        <v>0</v>
      </c>
      <c r="H37" t="b">
        <f t="shared" si="3"/>
        <v>0</v>
      </c>
      <c r="I37" t="b">
        <f t="shared" ca="1" si="4"/>
        <v>0</v>
      </c>
    </row>
    <row r="38" spans="1:9" x14ac:dyDescent="0.25">
      <c r="A38" s="1">
        <v>45642</v>
      </c>
      <c r="B38" s="4">
        <f>IFERROR(Merged_data[[#This Row],[BTCUSD_Close]]/Merged_data!D37-1,"")</f>
        <v>4.1453887101376541E-2</v>
      </c>
      <c r="C38" s="4">
        <f>IFERROR(Merged_data[[#This Row],[XAUUSD_Close]]/Merged_data!C37-1, "")</f>
        <v>1.8903056214403247E-3</v>
      </c>
      <c r="D38" s="4">
        <f>IFERROR(Merged_data[[#This Row],[AAPL_Close]]/Merged_data!B37-1,"")</f>
        <v>1.1728537019329632E-2</v>
      </c>
      <c r="E38" s="18">
        <f t="shared" si="0"/>
        <v>1.671084948478798E-2</v>
      </c>
      <c r="F38" s="19">
        <f t="shared" si="1"/>
        <v>16710.849484787981</v>
      </c>
      <c r="G38" t="b">
        <f t="shared" si="2"/>
        <v>0</v>
      </c>
      <c r="H38" t="b">
        <f t="shared" si="3"/>
        <v>0</v>
      </c>
      <c r="I38" t="b">
        <f t="shared" ca="1" si="4"/>
        <v>0</v>
      </c>
    </row>
    <row r="39" spans="1:9" x14ac:dyDescent="0.25">
      <c r="A39" s="1">
        <v>45643</v>
      </c>
      <c r="B39" s="4">
        <f>IFERROR(Merged_data[[#This Row],[BTCUSD_Close]]/Merged_data!D38-1,"")</f>
        <v>1.303805600695318E-3</v>
      </c>
      <c r="C39" s="4">
        <f>IFERROR(Merged_data[[#This Row],[XAUUSD_Close]]/Merged_data!C38-1, "")</f>
        <v>-2.297637335192948E-3</v>
      </c>
      <c r="D39" s="4">
        <f>IFERROR(Merged_data[[#This Row],[AAPL_Close]]/Merged_data!B38-1,"")</f>
        <v>9.7222886857761814E-3</v>
      </c>
      <c r="E39" s="18">
        <f t="shared" si="0"/>
        <v>2.3887733518642706E-3</v>
      </c>
      <c r="F39" s="19">
        <f t="shared" si="1"/>
        <v>2388.7733518642708</v>
      </c>
      <c r="G39" t="b">
        <f t="shared" si="2"/>
        <v>0</v>
      </c>
      <c r="H39" t="b">
        <f t="shared" si="3"/>
        <v>0</v>
      </c>
      <c r="I39" t="b">
        <f t="shared" ca="1" si="4"/>
        <v>0</v>
      </c>
    </row>
    <row r="40" spans="1:9" x14ac:dyDescent="0.25">
      <c r="A40" s="1">
        <v>45644</v>
      </c>
      <c r="B40" s="4">
        <f>IFERROR(Merged_data[[#This Row],[BTCUSD_Close]]/Merged_data!D39-1,"")</f>
        <v>-4.5970070389311446E-2</v>
      </c>
      <c r="C40" s="4">
        <f>IFERROR(Merged_data[[#This Row],[XAUUSD_Close]]/Merged_data!C39-1, "")</f>
        <v>-2.315775155575206E-2</v>
      </c>
      <c r="D40" s="4">
        <f>IFERROR(Merged_data[[#This Row],[AAPL_Close]]/Merged_data!B39-1,"")</f>
        <v>-2.1421631740665581E-2</v>
      </c>
      <c r="E40" s="18">
        <f t="shared" si="0"/>
        <v>-2.9480611261293928E-2</v>
      </c>
      <c r="F40" s="19">
        <f t="shared" si="1"/>
        <v>29480.611261293929</v>
      </c>
      <c r="G40" t="b">
        <f t="shared" si="2"/>
        <v>0</v>
      </c>
      <c r="H40" t="b">
        <f t="shared" si="3"/>
        <v>1</v>
      </c>
      <c r="I40" t="b">
        <f t="shared" ca="1" si="4"/>
        <v>0</v>
      </c>
    </row>
    <row r="41" spans="1:9" x14ac:dyDescent="0.25">
      <c r="A41" s="1">
        <v>45645</v>
      </c>
      <c r="B41" s="4">
        <f>IFERROR(Merged_data[[#This Row],[BTCUSD_Close]]/Merged_data!D40-1,"")</f>
        <v>-2.8590643853229181E-2</v>
      </c>
      <c r="C41" s="4">
        <f>IFERROR(Merged_data[[#This Row],[XAUUSD_Close]]/Merged_data!C40-1, "")</f>
        <v>3.4598930894969016E-3</v>
      </c>
      <c r="D41" s="4">
        <f>IFERROR(Merged_data[[#This Row],[AAPL_Close]]/Merged_data!B40-1,"")</f>
        <v>7.0143434848937147E-3</v>
      </c>
      <c r="E41" s="18">
        <f t="shared" si="0"/>
        <v>-5.0889328747018795E-3</v>
      </c>
      <c r="F41" s="19">
        <f t="shared" si="1"/>
        <v>5088.9328747018799</v>
      </c>
      <c r="G41" t="b">
        <f t="shared" si="2"/>
        <v>0</v>
      </c>
      <c r="H41" t="b">
        <f t="shared" si="3"/>
        <v>0</v>
      </c>
      <c r="I41" t="b">
        <f t="shared" ca="1" si="4"/>
        <v>0</v>
      </c>
    </row>
    <row r="42" spans="1:9" x14ac:dyDescent="0.25">
      <c r="A42" s="1">
        <v>45646</v>
      </c>
      <c r="B42" s="4">
        <f>IFERROR(Merged_data[[#This Row],[BTCUSD_Close]]/Merged_data!D41-1,"")</f>
        <v>-1.8385407333800341E-2</v>
      </c>
      <c r="C42" s="4">
        <f>IFERROR(Merged_data[[#This Row],[XAUUSD_Close]]/Merged_data!C41-1, "")</f>
        <v>1.1103251955741245E-2</v>
      </c>
      <c r="D42" s="4">
        <f>IFERROR(Merged_data[[#This Row],[AAPL_Close]]/Merged_data!B41-1,"")</f>
        <v>1.8816428605780811E-2</v>
      </c>
      <c r="E42" s="18">
        <f t="shared" si="0"/>
        <v>4.5706071638906389E-3</v>
      </c>
      <c r="F42" s="19">
        <f t="shared" si="1"/>
        <v>4570.6071638906387</v>
      </c>
      <c r="G42" t="b">
        <f t="shared" si="2"/>
        <v>0</v>
      </c>
      <c r="H42" t="b">
        <f t="shared" si="3"/>
        <v>0</v>
      </c>
      <c r="I42" t="b">
        <f t="shared" ca="1" si="4"/>
        <v>0</v>
      </c>
    </row>
    <row r="43" spans="1:9" x14ac:dyDescent="0.25">
      <c r="A43" s="1">
        <v>45649</v>
      </c>
      <c r="B43" s="4">
        <f>IFERROR(Merged_data[[#This Row],[BTCUSD_Close]]/Merged_data!D42-1,"")</f>
        <v>-1.4143262243629939E-2</v>
      </c>
      <c r="C43" s="4">
        <f>IFERROR(Merged_data[[#This Row],[XAUUSD_Close]]/Merged_data!C42-1, "")</f>
        <v>-3.8675760267470327E-3</v>
      </c>
      <c r="D43" s="4">
        <f>IFERROR(Merged_data[[#This Row],[AAPL_Close]]/Merged_data!B42-1,"")</f>
        <v>3.0643835239230199E-3</v>
      </c>
      <c r="E43" s="18">
        <f t="shared" si="0"/>
        <v>-4.8706940266108889E-3</v>
      </c>
      <c r="F43" s="19">
        <f t="shared" si="1"/>
        <v>4870.6940266108886</v>
      </c>
      <c r="G43" t="b">
        <f t="shared" si="2"/>
        <v>0</v>
      </c>
      <c r="H43" t="b">
        <f t="shared" si="3"/>
        <v>0</v>
      </c>
      <c r="I43" t="b">
        <f t="shared" ca="1" si="4"/>
        <v>0</v>
      </c>
    </row>
    <row r="44" spans="1:9" x14ac:dyDescent="0.25">
      <c r="A44" s="1">
        <v>45650</v>
      </c>
      <c r="B44" s="4">
        <f>IFERROR(Merged_data[[#This Row],[BTCUSD_Close]]/Merged_data!D43-1,"")</f>
        <v>3.846509934792075E-2</v>
      </c>
      <c r="C44" s="4">
        <f>IFERROR(Merged_data[[#This Row],[XAUUSD_Close]]/Merged_data!C43-1, "")</f>
        <v>1.238066625971701E-3</v>
      </c>
      <c r="D44" s="4">
        <f>IFERROR(Merged_data[[#This Row],[AAPL_Close]]/Merged_data!B43-1,"")</f>
        <v>1.1474959802345142E-2</v>
      </c>
      <c r="E44" s="18">
        <f t="shared" si="0"/>
        <v>1.5477244395468447E-2</v>
      </c>
      <c r="F44" s="19">
        <f t="shared" si="1"/>
        <v>15477.244395468448</v>
      </c>
      <c r="G44" t="b">
        <f t="shared" si="2"/>
        <v>0</v>
      </c>
      <c r="H44" t="b">
        <f t="shared" si="3"/>
        <v>0</v>
      </c>
      <c r="I44" t="b">
        <f t="shared" ca="1" si="4"/>
        <v>0</v>
      </c>
    </row>
    <row r="45" spans="1:9" x14ac:dyDescent="0.25">
      <c r="A45" s="1">
        <v>45652</v>
      </c>
      <c r="B45" s="4">
        <f>IFERROR(Merged_data[[#This Row],[BTCUSD_Close]]/Merged_data!D44-1,"")</f>
        <v>-3.0367992186890569E-2</v>
      </c>
      <c r="C45" s="4">
        <f>IFERROR(Merged_data[[#This Row],[XAUUSD_Close]]/Merged_data!C44-1, "")</f>
        <v>6.7330994044754178E-3</v>
      </c>
      <c r="D45" s="4">
        <f>IFERROR(Merged_data[[#This Row],[AAPL_Close]]/Merged_data!B44-1,"")</f>
        <v>3.1793297042448376E-3</v>
      </c>
      <c r="E45" s="18">
        <f t="shared" si="0"/>
        <v>-5.4633589830035516E-3</v>
      </c>
      <c r="F45" s="19">
        <f t="shared" si="1"/>
        <v>5463.3589830035517</v>
      </c>
      <c r="G45" t="b">
        <f t="shared" si="2"/>
        <v>0</v>
      </c>
      <c r="H45" t="b">
        <f t="shared" si="3"/>
        <v>0</v>
      </c>
      <c r="I45" t="b">
        <f t="shared" ca="1" si="4"/>
        <v>0</v>
      </c>
    </row>
    <row r="46" spans="1:9" x14ac:dyDescent="0.25">
      <c r="A46" s="1">
        <v>45653</v>
      </c>
      <c r="B46" s="4">
        <f>IFERROR(Merged_data[[#This Row],[BTCUSD_Close]]/Merged_data!D45-1,"")</f>
        <v>-1.2625851022480705E-2</v>
      </c>
      <c r="C46" s="4">
        <f>IFERROR(Merged_data[[#This Row],[XAUUSD_Close]]/Merged_data!C45-1, "")</f>
        <v>-6.9253681474831241E-3</v>
      </c>
      <c r="D46" s="4">
        <f>IFERROR(Merged_data[[#This Row],[AAPL_Close]]/Merged_data!B45-1,"")</f>
        <v>-1.3245161090841617E-2</v>
      </c>
      <c r="E46" s="18">
        <f t="shared" si="0"/>
        <v>-1.0531450892989947E-2</v>
      </c>
      <c r="F46" s="19">
        <f t="shared" si="1"/>
        <v>10531.450892989948</v>
      </c>
      <c r="G46" t="b">
        <f t="shared" si="2"/>
        <v>0</v>
      </c>
      <c r="H46" t="b">
        <f t="shared" si="3"/>
        <v>0</v>
      </c>
      <c r="I46" t="b">
        <f t="shared" ca="1" si="4"/>
        <v>0</v>
      </c>
    </row>
    <row r="47" spans="1:9" x14ac:dyDescent="0.25">
      <c r="A47" s="1">
        <v>45656</v>
      </c>
      <c r="B47" s="4">
        <f>IFERROR(Merged_data[[#This Row],[BTCUSD_Close]]/Merged_data!D46-1,"")</f>
        <v>-1.9985185185185217E-2</v>
      </c>
      <c r="C47" s="4">
        <f>IFERROR(Merged_data[[#This Row],[XAUUSD_Close]]/Merged_data!C46-1, "")</f>
        <v>-3.6665258425074843E-3</v>
      </c>
      <c r="D47" s="4">
        <f>IFERROR(Merged_data[[#This Row],[AAPL_Close]]/Merged_data!B46-1,"")</f>
        <v>-1.3262360512163673E-2</v>
      </c>
      <c r="E47" s="18">
        <f t="shared" si="0"/>
        <v>-1.1440874046207659E-2</v>
      </c>
      <c r="F47" s="19">
        <f t="shared" si="1"/>
        <v>11440.87404620766</v>
      </c>
      <c r="G47" t="b">
        <f t="shared" si="2"/>
        <v>0</v>
      </c>
      <c r="H47" t="b">
        <f t="shared" si="3"/>
        <v>0</v>
      </c>
      <c r="I47" t="b">
        <f t="shared" ca="1" si="4"/>
        <v>0</v>
      </c>
    </row>
    <row r="48" spans="1:9" x14ac:dyDescent="0.25">
      <c r="A48" s="1">
        <v>45657</v>
      </c>
      <c r="B48" s="4">
        <f>IFERROR(Merged_data[[#This Row],[BTCUSD_Close]]/Merged_data!D47-1,"")</f>
        <v>7.6048952936680347E-3</v>
      </c>
      <c r="C48" s="4">
        <f>IFERROR(Merged_data[[#This Row],[XAUUSD_Close]]/Merged_data!C47-1, "")</f>
        <v>7.1451458480831231E-3</v>
      </c>
      <c r="D48" s="4">
        <f>IFERROR(Merged_data[[#This Row],[AAPL_Close]]/Merged_data!B47-1,"")</f>
        <v>-7.0577120786906589E-3</v>
      </c>
      <c r="E48" s="18">
        <f t="shared" si="0"/>
        <v>3.0222133037264621E-3</v>
      </c>
      <c r="F48" s="19">
        <f t="shared" si="1"/>
        <v>3022.2133037264621</v>
      </c>
      <c r="G48" t="b">
        <f t="shared" si="2"/>
        <v>0</v>
      </c>
      <c r="H48" t="b">
        <f t="shared" si="3"/>
        <v>0</v>
      </c>
      <c r="I48" t="b">
        <f t="shared" ca="1" si="4"/>
        <v>0</v>
      </c>
    </row>
    <row r="49" spans="1:9" x14ac:dyDescent="0.25">
      <c r="A49" s="1">
        <v>45659</v>
      </c>
      <c r="B49" s="4">
        <f>IFERROR(Merged_data[[#This Row],[BTCUSD_Close]]/Merged_data!D48-1,"")</f>
        <v>3.7477080491278514E-2</v>
      </c>
      <c r="C49" s="4">
        <f>IFERROR(Merged_data[[#This Row],[XAUUSD_Close]]/Merged_data!C48-1, "")</f>
        <v>1.2735346731006958E-2</v>
      </c>
      <c r="D49" s="4">
        <f>IFERROR(Merged_data[[#This Row],[AAPL_Close]]/Merged_data!B48-1,"")</f>
        <v>-2.6236782666053782E-2</v>
      </c>
      <c r="E49" s="18">
        <f t="shared" si="0"/>
        <v>8.4662280399702017E-3</v>
      </c>
      <c r="F49" s="19">
        <f t="shared" si="1"/>
        <v>8466.2280399702013</v>
      </c>
      <c r="G49" t="b">
        <f t="shared" si="2"/>
        <v>0</v>
      </c>
      <c r="H49" t="b">
        <f t="shared" si="3"/>
        <v>0</v>
      </c>
      <c r="I49" t="b">
        <f t="shared" ca="1" si="4"/>
        <v>0</v>
      </c>
    </row>
    <row r="50" spans="1:9" x14ac:dyDescent="0.25">
      <c r="A50" s="1">
        <v>45660</v>
      </c>
      <c r="B50" s="4">
        <f>IFERROR(Merged_data[[#This Row],[BTCUSD_Close]]/Merged_data!D49-1,"")</f>
        <v>1.5393609735892655E-2</v>
      </c>
      <c r="C50" s="4">
        <f>IFERROR(Merged_data[[#This Row],[XAUUSD_Close]]/Merged_data!C49-1, "")</f>
        <v>-7.4303708413436809E-3</v>
      </c>
      <c r="D50" s="4">
        <f>IFERROR(Merged_data[[#This Row],[AAPL_Close]]/Merged_data!B49-1,"")</f>
        <v>-2.0075375027711617E-3</v>
      </c>
      <c r="E50" s="18">
        <f t="shared" si="0"/>
        <v>1.0436733333989753E-3</v>
      </c>
      <c r="F50" s="19">
        <f t="shared" si="1"/>
        <v>1043.6733333989753</v>
      </c>
      <c r="G50" t="b">
        <f t="shared" si="2"/>
        <v>0</v>
      </c>
      <c r="H50" t="b">
        <f t="shared" si="3"/>
        <v>0</v>
      </c>
      <c r="I50" t="b">
        <f t="shared" ca="1" si="4"/>
        <v>0</v>
      </c>
    </row>
    <row r="51" spans="1:9" x14ac:dyDescent="0.25">
      <c r="A51" s="1">
        <v>45663</v>
      </c>
      <c r="B51" s="4">
        <f>IFERROR(Merged_data[[#This Row],[BTCUSD_Close]]/Merged_data!D50-1,"")</f>
        <v>3.8023177271950592E-2</v>
      </c>
      <c r="C51" s="4">
        <f>IFERROR(Merged_data[[#This Row],[XAUUSD_Close]]/Merged_data!C50-1, "")</f>
        <v>-8.244069955198885E-4</v>
      </c>
      <c r="D51" s="4">
        <f>IFERROR(Merged_data[[#This Row],[AAPL_Close]]/Merged_data!B50-1,"")</f>
        <v>6.73816193802379E-3</v>
      </c>
      <c r="E51" s="18">
        <f t="shared" si="0"/>
        <v>1.3098638964784358E-2</v>
      </c>
      <c r="F51" s="19">
        <f t="shared" si="1"/>
        <v>13098.638964784357</v>
      </c>
      <c r="G51" t="b">
        <f t="shared" si="2"/>
        <v>0</v>
      </c>
      <c r="H51" t="b">
        <f t="shared" si="3"/>
        <v>0</v>
      </c>
      <c r="I51" t="b">
        <f t="shared" ca="1" si="4"/>
        <v>0</v>
      </c>
    </row>
    <row r="52" spans="1:9" x14ac:dyDescent="0.25">
      <c r="A52" s="1">
        <v>45664</v>
      </c>
      <c r="B52" s="4">
        <f>IFERROR(Merged_data[[#This Row],[BTCUSD_Close]]/Merged_data!D51-1,"")</f>
        <v>-4.813947334894797E-2</v>
      </c>
      <c r="C52" s="4">
        <f>IFERROR(Merged_data[[#This Row],[XAUUSD_Close]]/Merged_data!C51-1, "")</f>
        <v>4.7987830437941081E-3</v>
      </c>
      <c r="D52" s="4">
        <f>IFERROR(Merged_data[[#This Row],[AAPL_Close]]/Merged_data!B51-1,"")</f>
        <v>-1.1388013778393491E-2</v>
      </c>
      <c r="E52" s="18">
        <f t="shared" si="0"/>
        <v>-1.5938732920684793E-2</v>
      </c>
      <c r="F52" s="19">
        <f t="shared" si="1"/>
        <v>15938.732920684793</v>
      </c>
      <c r="G52" t="b">
        <f t="shared" si="2"/>
        <v>0</v>
      </c>
      <c r="H52" t="b">
        <f t="shared" si="3"/>
        <v>0</v>
      </c>
      <c r="I52" t="b">
        <f t="shared" ca="1" si="4"/>
        <v>0</v>
      </c>
    </row>
    <row r="53" spans="1:9" x14ac:dyDescent="0.25">
      <c r="A53" s="1">
        <v>45665</v>
      </c>
      <c r="B53" s="4">
        <f>IFERROR(Merged_data[[#This Row],[BTCUSD_Close]]/Merged_data!D52-1,"")</f>
        <v>-1.9223958290434884E-2</v>
      </c>
      <c r="C53" s="4">
        <f>IFERROR(Merged_data[[#This Row],[XAUUSD_Close]]/Merged_data!C52-1, "")</f>
        <v>5.0458048842181302E-3</v>
      </c>
      <c r="D53" s="4">
        <f>IFERROR(Merged_data[[#This Row],[AAPL_Close]]/Merged_data!B52-1,"")</f>
        <v>2.0211288562643759E-3</v>
      </c>
      <c r="E53" s="18">
        <f t="shared" si="0"/>
        <v>-3.1425268765639005E-3</v>
      </c>
      <c r="F53" s="19">
        <f t="shared" si="1"/>
        <v>3142.5268765639007</v>
      </c>
      <c r="G53" t="b">
        <f t="shared" si="2"/>
        <v>0</v>
      </c>
      <c r="H53" t="b">
        <f t="shared" si="3"/>
        <v>0</v>
      </c>
      <c r="I53" t="b">
        <f t="shared" ca="1" si="4"/>
        <v>0</v>
      </c>
    </row>
    <row r="54" spans="1:9" x14ac:dyDescent="0.25">
      <c r="A54" s="1">
        <v>45667</v>
      </c>
      <c r="B54" s="4">
        <f>IFERROR(Merged_data[[#This Row],[BTCUSD_Close]]/Merged_data!D53-1,"")</f>
        <v>-6.7739781821846146E-3</v>
      </c>
      <c r="C54" s="4">
        <f>IFERROR(Merged_data[[#This Row],[XAUUSD_Close]]/Merged_data!C53-1, "")</f>
        <v>1.0713346606062935E-2</v>
      </c>
      <c r="D54" s="4">
        <f>IFERROR(Merged_data[[#This Row],[AAPL_Close]]/Merged_data!B53-1,"")</f>
        <v>-2.4101504333155943E-2</v>
      </c>
      <c r="E54" s="18">
        <f t="shared" si="0"/>
        <v>-4.9773061121769924E-3</v>
      </c>
      <c r="F54" s="19">
        <f t="shared" si="1"/>
        <v>4977.3061121769924</v>
      </c>
      <c r="G54" t="b">
        <f t="shared" si="2"/>
        <v>0</v>
      </c>
      <c r="H54" t="b">
        <f t="shared" si="3"/>
        <v>0</v>
      </c>
      <c r="I54" t="b">
        <f t="shared" ca="1" si="4"/>
        <v>0</v>
      </c>
    </row>
    <row r="55" spans="1:9" x14ac:dyDescent="0.25">
      <c r="A55" s="1">
        <v>45670</v>
      </c>
      <c r="B55" s="4">
        <f>IFERROR(Merged_data[[#This Row],[BTCUSD_Close]]/Merged_data!D54-1,"")</f>
        <v>-2.6993234780899877E-3</v>
      </c>
      <c r="C55" s="4">
        <f>IFERROR(Merged_data[[#This Row],[XAUUSD_Close]]/Merged_data!C54-1, "")</f>
        <v>-1.0248567244724227E-2</v>
      </c>
      <c r="D55" s="4">
        <f>IFERROR(Merged_data[[#This Row],[AAPL_Close]]/Merged_data!B54-1,"")</f>
        <v>-1.0342787100046547E-2</v>
      </c>
      <c r="E55" s="18">
        <f t="shared" si="0"/>
        <v>-8.0120600713306511E-3</v>
      </c>
      <c r="F55" s="19">
        <f t="shared" si="1"/>
        <v>8012.0600713306512</v>
      </c>
      <c r="G55" t="b">
        <f t="shared" si="2"/>
        <v>0</v>
      </c>
      <c r="H55" t="b">
        <f t="shared" si="3"/>
        <v>0</v>
      </c>
      <c r="I55" t="b">
        <f t="shared" ca="1" si="4"/>
        <v>0</v>
      </c>
    </row>
    <row r="56" spans="1:9" x14ac:dyDescent="0.25">
      <c r="A56" s="1">
        <v>45671</v>
      </c>
      <c r="B56" s="4">
        <f>IFERROR(Merged_data[[#This Row],[BTCUSD_Close]]/Merged_data!D55-1,"")</f>
        <v>2.4665936844604053E-2</v>
      </c>
      <c r="C56" s="4">
        <f>IFERROR(Merged_data[[#This Row],[XAUUSD_Close]]/Merged_data!C55-1, "")</f>
        <v>5.3754254997568918E-3</v>
      </c>
      <c r="D56" s="4">
        <f>IFERROR(Merged_data[[#This Row],[AAPL_Close]]/Merged_data!B55-1,"")</f>
        <v>-4.7791307021777252E-3</v>
      </c>
      <c r="E56" s="18">
        <f t="shared" si="0"/>
        <v>8.1162120426306553E-3</v>
      </c>
      <c r="F56" s="19">
        <f t="shared" si="1"/>
        <v>8116.2120426306556</v>
      </c>
      <c r="G56" t="b">
        <f t="shared" si="2"/>
        <v>0</v>
      </c>
      <c r="H56" t="b">
        <f t="shared" si="3"/>
        <v>0</v>
      </c>
      <c r="I56" t="b">
        <f t="shared" ca="1" si="4"/>
        <v>0</v>
      </c>
    </row>
    <row r="57" spans="1:9" x14ac:dyDescent="0.25">
      <c r="A57" s="1">
        <v>45672</v>
      </c>
      <c r="B57" s="4">
        <f>IFERROR(Merged_data[[#This Row],[BTCUSD_Close]]/Merged_data!D56-1,"")</f>
        <v>3.1238493966184278E-2</v>
      </c>
      <c r="C57" s="4">
        <f>IFERROR(Merged_data[[#This Row],[XAUUSD_Close]]/Merged_data!C56-1, "")</f>
        <v>7.1581707353511881E-3</v>
      </c>
      <c r="D57" s="4">
        <f>IFERROR(Merged_data[[#This Row],[AAPL_Close]]/Merged_data!B56-1,"")</f>
        <v>1.9676084866794952E-2</v>
      </c>
      <c r="E57" s="18">
        <f t="shared" si="0"/>
        <v>1.8137641944034243E-2</v>
      </c>
      <c r="F57" s="19">
        <f t="shared" si="1"/>
        <v>18137.641944034243</v>
      </c>
      <c r="G57" t="b">
        <f t="shared" si="2"/>
        <v>0</v>
      </c>
      <c r="H57" t="b">
        <f t="shared" si="3"/>
        <v>0</v>
      </c>
      <c r="I57" t="b">
        <f t="shared" ca="1" si="4"/>
        <v>0</v>
      </c>
    </row>
    <row r="58" spans="1:9" x14ac:dyDescent="0.25">
      <c r="A58" s="1">
        <v>45673</v>
      </c>
      <c r="B58" s="4">
        <f>IFERROR(Merged_data[[#This Row],[BTCUSD_Close]]/Merged_data!D57-1,"")</f>
        <v>1.1182563625276032E-3</v>
      </c>
      <c r="C58" s="4">
        <f>IFERROR(Merged_data[[#This Row],[XAUUSD_Close]]/Merged_data!C57-1, "")</f>
        <v>6.7345935973150972E-3</v>
      </c>
      <c r="D58" s="4">
        <f>IFERROR(Merged_data[[#This Row],[AAPL_Close]]/Merged_data!B57-1,"")</f>
        <v>-4.04025100059342E-2</v>
      </c>
      <c r="E58" s="18">
        <f t="shared" si="0"/>
        <v>-9.0914386540959409E-3</v>
      </c>
      <c r="F58" s="19">
        <f t="shared" si="1"/>
        <v>9091.4386540959404</v>
      </c>
      <c r="G58" t="b">
        <f t="shared" si="2"/>
        <v>0</v>
      </c>
      <c r="H58" t="b">
        <f t="shared" si="3"/>
        <v>0</v>
      </c>
      <c r="I58" t="b">
        <f t="shared" ca="1" si="4"/>
        <v>0</v>
      </c>
    </row>
    <row r="59" spans="1:9" x14ac:dyDescent="0.25">
      <c r="A59" s="1">
        <v>45674</v>
      </c>
      <c r="B59" s="4">
        <f>IFERROR(Merged_data[[#This Row],[BTCUSD_Close]]/Merged_data!D58-1,"")</f>
        <v>4.936571018119551E-2</v>
      </c>
      <c r="C59" s="4">
        <f>IFERROR(Merged_data[[#This Row],[XAUUSD_Close]]/Merged_data!C58-1, "")</f>
        <v>-5.0908300594728617E-3</v>
      </c>
      <c r="D59" s="4">
        <f>IFERROR(Merged_data[[#This Row],[AAPL_Close]]/Merged_data!B58-1,"")</f>
        <v>7.5347902933657895E-3</v>
      </c>
      <c r="E59" s="18">
        <f t="shared" si="0"/>
        <v>1.5033818118579245E-2</v>
      </c>
      <c r="F59" s="19">
        <f t="shared" si="1"/>
        <v>15033.818118579244</v>
      </c>
      <c r="G59" t="b">
        <f t="shared" si="2"/>
        <v>0</v>
      </c>
      <c r="H59" t="b">
        <f t="shared" si="3"/>
        <v>0</v>
      </c>
      <c r="I59" t="b">
        <f t="shared" ca="1" si="4"/>
        <v>0</v>
      </c>
    </row>
    <row r="60" spans="1:9" x14ac:dyDescent="0.25">
      <c r="A60" s="1">
        <v>45678</v>
      </c>
      <c r="B60" s="4">
        <f>IFERROR(Merged_data[[#This Row],[BTCUSD_Close]]/Merged_data!D59-1,"")</f>
        <v>1.2076602894566024E-2</v>
      </c>
      <c r="C60" s="4">
        <f>IFERROR(Merged_data[[#This Row],[XAUUSD_Close]]/Merged_data!C59-1, "")</f>
        <v>1.627071327148899E-2</v>
      </c>
      <c r="D60" s="4">
        <f>IFERROR(Merged_data[[#This Row],[AAPL_Close]]/Merged_data!B59-1,"")</f>
        <v>-3.191614394476916E-2</v>
      </c>
      <c r="E60" s="18">
        <f t="shared" si="0"/>
        <v>5.5642299353465645E-4</v>
      </c>
      <c r="F60" s="19">
        <f t="shared" si="1"/>
        <v>556.42299353465648</v>
      </c>
      <c r="G60" t="b">
        <f t="shared" si="2"/>
        <v>0</v>
      </c>
      <c r="H60" t="b">
        <f t="shared" si="3"/>
        <v>0</v>
      </c>
      <c r="I60" t="b">
        <f t="shared" ca="1" si="4"/>
        <v>0</v>
      </c>
    </row>
    <row r="61" spans="1:9" x14ac:dyDescent="0.25">
      <c r="A61" s="1">
        <v>45679</v>
      </c>
      <c r="B61" s="4">
        <f>IFERROR(Merged_data[[#This Row],[BTCUSD_Close]]/Merged_data!D60-1,"")</f>
        <v>-2.0846499957552389E-2</v>
      </c>
      <c r="C61" s="4">
        <f>IFERROR(Merged_data[[#This Row],[XAUUSD_Close]]/Merged_data!C60-1, "")</f>
        <v>4.1879037164684885E-3</v>
      </c>
      <c r="D61" s="4">
        <f>IFERROR(Merged_data[[#This Row],[AAPL_Close]]/Merged_data!B60-1,"")</f>
        <v>5.3463432181477533E-3</v>
      </c>
      <c r="E61" s="18">
        <f t="shared" si="0"/>
        <v>-2.9748855352339943E-3</v>
      </c>
      <c r="F61" s="19">
        <f t="shared" si="1"/>
        <v>2974.8855352339942</v>
      </c>
      <c r="G61" t="b">
        <f t="shared" si="2"/>
        <v>0</v>
      </c>
      <c r="H61" t="b">
        <f t="shared" si="3"/>
        <v>0</v>
      </c>
      <c r="I61" t="b">
        <f t="shared" ca="1" si="4"/>
        <v>0</v>
      </c>
    </row>
    <row r="62" spans="1:9" x14ac:dyDescent="0.25">
      <c r="A62" s="1">
        <v>45680</v>
      </c>
      <c r="B62" s="4">
        <f>IFERROR(Merged_data[[#This Row],[BTCUSD_Close]]/Merged_data!D61-1,"")</f>
        <v>1.8592911572883342E-3</v>
      </c>
      <c r="C62" s="4">
        <f>IFERROR(Merged_data[[#This Row],[XAUUSD_Close]]/Merged_data!C61-1, "")</f>
        <v>-5.1518246347903585E-4</v>
      </c>
      <c r="D62" s="4">
        <f>IFERROR(Merged_data[[#This Row],[AAPL_Close]]/Merged_data!B61-1,"")</f>
        <v>-7.6034063260344009E-4</v>
      </c>
      <c r="E62" s="18">
        <f t="shared" si="0"/>
        <v>1.2361217201385389E-4</v>
      </c>
      <c r="F62" s="19">
        <f t="shared" si="1"/>
        <v>123.61217201385389</v>
      </c>
      <c r="G62" t="b">
        <f t="shared" si="2"/>
        <v>0</v>
      </c>
      <c r="H62" t="b">
        <f t="shared" si="3"/>
        <v>0</v>
      </c>
      <c r="I62" t="b">
        <f t="shared" ca="1" si="4"/>
        <v>0</v>
      </c>
    </row>
    <row r="63" spans="1:9" x14ac:dyDescent="0.25">
      <c r="A63" s="1">
        <v>45681</v>
      </c>
      <c r="B63" s="4">
        <f>IFERROR(Merged_data[[#This Row],[BTCUSD_Close]]/Merged_data!D62-1,"")</f>
        <v>9.8465325589445207E-3</v>
      </c>
      <c r="C63" s="4">
        <f>IFERROR(Merged_data[[#This Row],[XAUUSD_Close]]/Merged_data!C62-1, "")</f>
        <v>5.8877230809997183E-3</v>
      </c>
      <c r="D63" s="4">
        <f>IFERROR(Merged_data[[#This Row],[AAPL_Close]]/Merged_data!B62-1,"")</f>
        <v>-3.9343998137985059E-3</v>
      </c>
      <c r="E63" s="18">
        <f t="shared" si="0"/>
        <v>4.1287290559436918E-3</v>
      </c>
      <c r="F63" s="19">
        <f t="shared" si="1"/>
        <v>4128.7290559436915</v>
      </c>
      <c r="G63" t="b">
        <f t="shared" si="2"/>
        <v>0</v>
      </c>
      <c r="H63" t="b">
        <f t="shared" si="3"/>
        <v>0</v>
      </c>
      <c r="I63" t="b">
        <f t="shared" ca="1" si="4"/>
        <v>0</v>
      </c>
    </row>
    <row r="64" spans="1:9" x14ac:dyDescent="0.25">
      <c r="A64" s="1">
        <v>45684</v>
      </c>
      <c r="B64" s="4">
        <f>IFERROR(Merged_data[[#This Row],[BTCUSD_Close]]/Merged_data!D63-1,"")</f>
        <v>-3.249857170062842E-2</v>
      </c>
      <c r="C64" s="4">
        <f>IFERROR(Merged_data[[#This Row],[XAUUSD_Close]]/Merged_data!C63-1, "")</f>
        <v>-1.0889157935191962E-2</v>
      </c>
      <c r="D64" s="4">
        <f>IFERROR(Merged_data[[#This Row],[AAPL_Close]]/Merged_data!B63-1,"")</f>
        <v>3.1783764351674959E-2</v>
      </c>
      <c r="E64" s="18">
        <f t="shared" si="0"/>
        <v>-4.5701053787628228E-3</v>
      </c>
      <c r="F64" s="19">
        <f t="shared" si="1"/>
        <v>4570.1053787628225</v>
      </c>
      <c r="G64" t="b">
        <f t="shared" si="2"/>
        <v>0</v>
      </c>
      <c r="H64" t="b">
        <f t="shared" si="3"/>
        <v>0</v>
      </c>
      <c r="I64" t="b">
        <f t="shared" ca="1" si="4"/>
        <v>0</v>
      </c>
    </row>
    <row r="65" spans="1:9" x14ac:dyDescent="0.25">
      <c r="A65" s="1">
        <v>45685</v>
      </c>
      <c r="B65" s="4">
        <f>IFERROR(Merged_data[[#This Row],[BTCUSD_Close]]/Merged_data!D64-1,"")</f>
        <v>-4.0154713750036874E-3</v>
      </c>
      <c r="C65" s="4">
        <f>IFERROR(Merged_data[[#This Row],[XAUUSD_Close]]/Merged_data!C64-1, "")</f>
        <v>8.376718850900966E-3</v>
      </c>
      <c r="D65" s="4">
        <f>IFERROR(Merged_data[[#This Row],[AAPL_Close]]/Merged_data!B64-1,"")</f>
        <v>3.6540538657189536E-2</v>
      </c>
      <c r="E65" s="18">
        <f t="shared" si="0"/>
        <v>1.3108207725016141E-2</v>
      </c>
      <c r="F65" s="19">
        <f t="shared" si="1"/>
        <v>13108.207725016142</v>
      </c>
      <c r="G65" t="b">
        <f t="shared" si="2"/>
        <v>0</v>
      </c>
      <c r="H65" t="b">
        <f t="shared" si="3"/>
        <v>0</v>
      </c>
      <c r="I65" t="b">
        <f t="shared" ca="1" si="4"/>
        <v>0</v>
      </c>
    </row>
    <row r="66" spans="1:9" x14ac:dyDescent="0.25">
      <c r="A66" s="1">
        <v>45686</v>
      </c>
      <c r="B66" s="4">
        <f>IFERROR(Merged_data[[#This Row],[BTCUSD_Close]]/Merged_data!D65-1,"")</f>
        <v>2.2618800581033494E-2</v>
      </c>
      <c r="C66" s="4">
        <f>IFERROR(Merged_data[[#This Row],[XAUUSD_Close]]/Merged_data!C65-1, "")</f>
        <v>-1.5449240020406485E-3</v>
      </c>
      <c r="D66" s="4">
        <f>IFERROR(Merged_data[[#This Row],[AAPL_Close]]/Merged_data!B65-1,"")</f>
        <v>4.617685862906562E-3</v>
      </c>
      <c r="E66" s="18">
        <f t="shared" si="0"/>
        <v>7.5529763323657576E-3</v>
      </c>
      <c r="F66" s="19">
        <f t="shared" si="1"/>
        <v>7552.976332365758</v>
      </c>
      <c r="G66" t="b">
        <f t="shared" si="2"/>
        <v>0</v>
      </c>
      <c r="H66" t="b">
        <f t="shared" si="3"/>
        <v>0</v>
      </c>
      <c r="I66" t="b">
        <f t="shared" ca="1" si="4"/>
        <v>0</v>
      </c>
    </row>
    <row r="67" spans="1:9" x14ac:dyDescent="0.25">
      <c r="A67" s="1">
        <v>45687</v>
      </c>
      <c r="B67" s="4">
        <f>IFERROR(Merged_data[[#This Row],[BTCUSD_Close]]/Merged_data!D66-1,"")</f>
        <v>1.5760281385281294E-2</v>
      </c>
      <c r="C67" s="4">
        <f>IFERROR(Merged_data[[#This Row],[XAUUSD_Close]]/Merged_data!C66-1, "")</f>
        <v>1.2528898906371211E-2</v>
      </c>
      <c r="D67" s="4">
        <f>IFERROR(Merged_data[[#This Row],[AAPL_Close]]/Merged_data!B66-1,"")</f>
        <v>-7.3944884293821733E-3</v>
      </c>
      <c r="E67" s="18">
        <f t="shared" si="0"/>
        <v>7.5212974493182212E-3</v>
      </c>
      <c r="F67" s="19">
        <f t="shared" si="1"/>
        <v>7521.297449318221</v>
      </c>
      <c r="G67" t="b">
        <f t="shared" si="2"/>
        <v>0</v>
      </c>
      <c r="H67" t="b">
        <f t="shared" si="3"/>
        <v>0</v>
      </c>
      <c r="I67" t="b">
        <f t="shared" ca="1" si="4"/>
        <v>0</v>
      </c>
    </row>
    <row r="68" spans="1:9" x14ac:dyDescent="0.25">
      <c r="A68" s="1">
        <v>45688</v>
      </c>
      <c r="B68" s="4">
        <f>IFERROR(Merged_data[[#This Row],[BTCUSD_Close]]/Merged_data!D67-1,"")</f>
        <v>-3.3504884939925206E-2</v>
      </c>
      <c r="C68" s="4">
        <f>IFERROR(Merged_data[[#This Row],[XAUUSD_Close]]/Merged_data!C67-1, "")</f>
        <v>2.5356140140542216E-3</v>
      </c>
      <c r="D68" s="4">
        <f>IFERROR(Merged_data[[#This Row],[AAPL_Close]]/Merged_data!B67-1,"")</f>
        <v>-6.6911334055256289E-3</v>
      </c>
      <c r="E68" s="18">
        <f t="shared" ref="E68:E131" si="5">SUMPRODUCT(B68:D68,$K$2:$M$2)</f>
        <v>-1.1044559898013562E-2</v>
      </c>
      <c r="F68" s="19">
        <f t="shared" ref="F68:F131" si="6">ABS(E68*$K$5)</f>
        <v>11044.559898013562</v>
      </c>
      <c r="G68" t="b">
        <f t="shared" ref="G68:G131" si="7">F68&gt;$K$8</f>
        <v>0</v>
      </c>
      <c r="H68" t="b">
        <f t="shared" ref="H68:H131" si="8">F68&gt;$K$9</f>
        <v>0</v>
      </c>
      <c r="I68" t="b">
        <f t="shared" ref="I68:I131" ca="1" si="9">F68&gt;$K$10</f>
        <v>0</v>
      </c>
    </row>
    <row r="69" spans="1:9" x14ac:dyDescent="0.25">
      <c r="A69" s="1">
        <v>45691</v>
      </c>
      <c r="B69" s="4">
        <f>IFERROR(Merged_data[[#This Row],[BTCUSD_Close]]/Merged_data!D68-1,"")</f>
        <v>1.1614516176658984E-3</v>
      </c>
      <c r="C69" s="4">
        <f>IFERROR(Merged_data[[#This Row],[XAUUSD_Close]]/Merged_data!C68-1, "")</f>
        <v>4.8977610235321212E-3</v>
      </c>
      <c r="D69" s="4">
        <f>IFERROR(Merged_data[[#This Row],[AAPL_Close]]/Merged_data!B68-1,"")</f>
        <v>-3.3854950984343102E-2</v>
      </c>
      <c r="E69" s="18">
        <f t="shared" si="5"/>
        <v>-7.8489454005903122E-3</v>
      </c>
      <c r="F69" s="19">
        <f t="shared" si="6"/>
        <v>7848.9454005903126</v>
      </c>
      <c r="G69" t="b">
        <f t="shared" si="7"/>
        <v>0</v>
      </c>
      <c r="H69" t="b">
        <f t="shared" si="8"/>
        <v>0</v>
      </c>
      <c r="I69" t="b">
        <f t="shared" ca="1" si="9"/>
        <v>0</v>
      </c>
    </row>
    <row r="70" spans="1:9" x14ac:dyDescent="0.25">
      <c r="A70" s="1">
        <v>45692</v>
      </c>
      <c r="B70" s="4">
        <f>IFERROR(Merged_data[[#This Row],[BTCUSD_Close]]/Merged_data!D69-1,"")</f>
        <v>-3.9585115273066851E-2</v>
      </c>
      <c r="C70" s="4">
        <f>IFERROR(Merged_data[[#This Row],[XAUUSD_Close]]/Merged_data!C69-1, "")</f>
        <v>9.7975133214920351E-3</v>
      </c>
      <c r="D70" s="4">
        <f>IFERROR(Merged_data[[#This Row],[AAPL_Close]]/Merged_data!B69-1,"")</f>
        <v>2.1004566210045761E-2</v>
      </c>
      <c r="E70" s="18">
        <f t="shared" si="5"/>
        <v>-1.6551593903095128E-3</v>
      </c>
      <c r="F70" s="19">
        <f t="shared" si="6"/>
        <v>1655.1593903095129</v>
      </c>
      <c r="G70" t="b">
        <f t="shared" si="7"/>
        <v>0</v>
      </c>
      <c r="H70" t="b">
        <f t="shared" si="8"/>
        <v>0</v>
      </c>
      <c r="I70" t="b">
        <f t="shared" ca="1" si="9"/>
        <v>0</v>
      </c>
    </row>
    <row r="71" spans="1:9" x14ac:dyDescent="0.25">
      <c r="A71" s="1">
        <v>45693</v>
      </c>
      <c r="B71" s="4">
        <f>IFERROR(Merged_data[[#This Row],[BTCUSD_Close]]/Merged_data!D70-1,"")</f>
        <v>-1.2139594589337999E-2</v>
      </c>
      <c r="C71" s="4">
        <f>IFERROR(Merged_data[[#This Row],[XAUUSD_Close]]/Merged_data!C70-1, "")</f>
        <v>8.4746955230812215E-3</v>
      </c>
      <c r="D71" s="4">
        <f>IFERROR(Merged_data[[#This Row],[AAPL_Close]]/Merged_data!B70-1,"")</f>
        <v>-1.414786018990033E-3</v>
      </c>
      <c r="E71" s="18">
        <f t="shared" si="5"/>
        <v>-6.7643597326592052E-4</v>
      </c>
      <c r="F71" s="19">
        <f t="shared" si="6"/>
        <v>676.43597326592055</v>
      </c>
      <c r="G71" t="b">
        <f t="shared" si="7"/>
        <v>0</v>
      </c>
      <c r="H71" t="b">
        <f t="shared" si="8"/>
        <v>0</v>
      </c>
      <c r="I71" t="b">
        <f t="shared" ca="1" si="9"/>
        <v>0</v>
      </c>
    </row>
    <row r="72" spans="1:9" x14ac:dyDescent="0.25">
      <c r="A72" s="1">
        <v>45694</v>
      </c>
      <c r="B72" s="4">
        <f>IFERROR(Merged_data[[#This Row],[BTCUSD_Close]]/Merged_data!D71-1,"")</f>
        <v>4.5853639328226059E-3</v>
      </c>
      <c r="C72" s="4">
        <f>IFERROR(Merged_data[[#This Row],[XAUUSD_Close]]/Merged_data!C71-1, "")</f>
        <v>-3.7098794071170893E-3</v>
      </c>
      <c r="D72" s="4">
        <f>IFERROR(Merged_data[[#This Row],[AAPL_Close]]/Merged_data!B71-1,"")</f>
        <v>3.2254591649978348E-3</v>
      </c>
      <c r="E72" s="18">
        <f t="shared" si="5"/>
        <v>8.5929516649929617E-4</v>
      </c>
      <c r="F72" s="19">
        <f t="shared" si="6"/>
        <v>859.29516649929622</v>
      </c>
      <c r="G72" t="b">
        <f t="shared" si="7"/>
        <v>0</v>
      </c>
      <c r="H72" t="b">
        <f t="shared" si="8"/>
        <v>0</v>
      </c>
      <c r="I72" t="b">
        <f t="shared" ca="1" si="9"/>
        <v>0</v>
      </c>
    </row>
    <row r="73" spans="1:9" x14ac:dyDescent="0.25">
      <c r="A73" s="1">
        <v>45695</v>
      </c>
      <c r="B73" s="4">
        <f>IFERROR(Merged_data[[#This Row],[BTCUSD_Close]]/Merged_data!D72-1,"")</f>
        <v>-1.0580204074054134E-2</v>
      </c>
      <c r="C73" s="4">
        <f>IFERROR(Merged_data[[#This Row],[XAUUSD_Close]]/Merged_data!C72-1, "")</f>
        <v>1.6176272349603948E-3</v>
      </c>
      <c r="D73" s="4">
        <f>IFERROR(Merged_data[[#This Row],[AAPL_Close]]/Merged_data!B72-1,"")</f>
        <v>-2.3969368657818402E-2</v>
      </c>
      <c r="E73" s="18">
        <f t="shared" si="5"/>
        <v>-9.7178209255776027E-3</v>
      </c>
      <c r="F73" s="19">
        <f t="shared" si="6"/>
        <v>9717.8209255776019</v>
      </c>
      <c r="G73" t="b">
        <f t="shared" si="7"/>
        <v>0</v>
      </c>
      <c r="H73" t="b">
        <f t="shared" si="8"/>
        <v>0</v>
      </c>
      <c r="I73" t="b">
        <f t="shared" ca="1" si="9"/>
        <v>0</v>
      </c>
    </row>
    <row r="74" spans="1:9" x14ac:dyDescent="0.25">
      <c r="A74" s="1">
        <v>45698</v>
      </c>
      <c r="B74" s="4">
        <f>IFERROR(Merged_data[[#This Row],[BTCUSD_Close]]/Merged_data!D73-1,"")</f>
        <v>1.5725686643487391E-2</v>
      </c>
      <c r="C74" s="4">
        <f>IFERROR(Merged_data[[#This Row],[XAUUSD_Close]]/Merged_data!C73-1, "")</f>
        <v>1.6566136077227123E-2</v>
      </c>
      <c r="D74" s="4">
        <f>IFERROR(Merged_data[[#This Row],[AAPL_Close]]/Merged_data!B73-1,"")</f>
        <v>1.1874395285424999E-3</v>
      </c>
      <c r="E74" s="18">
        <f t="shared" si="5"/>
        <v>1.1700392282499817E-2</v>
      </c>
      <c r="F74" s="19">
        <f t="shared" si="6"/>
        <v>11700.392282499817</v>
      </c>
      <c r="G74" t="b">
        <f t="shared" si="7"/>
        <v>0</v>
      </c>
      <c r="H74" t="b">
        <f t="shared" si="8"/>
        <v>0</v>
      </c>
      <c r="I74" t="b">
        <f t="shared" ca="1" si="9"/>
        <v>0</v>
      </c>
    </row>
    <row r="75" spans="1:9" x14ac:dyDescent="0.25">
      <c r="A75" s="1">
        <v>45699</v>
      </c>
      <c r="B75" s="4">
        <f>IFERROR(Merged_data[[#This Row],[BTCUSD_Close]]/Merged_data!D74-1,"")</f>
        <v>-1.9404092667500761E-2</v>
      </c>
      <c r="C75" s="4">
        <f>IFERROR(Merged_data[[#This Row],[XAUUSD_Close]]/Merged_data!C74-1, "")</f>
        <v>-3.5986375726648756E-3</v>
      </c>
      <c r="D75" s="4">
        <f>IFERROR(Merged_data[[#This Row],[AAPL_Close]]/Merged_data!B74-1,"")</f>
        <v>2.1831759279595797E-2</v>
      </c>
      <c r="E75" s="18">
        <f t="shared" si="5"/>
        <v>-7.1115504543743917E-4</v>
      </c>
      <c r="F75" s="19">
        <f t="shared" si="6"/>
        <v>711.15504543743918</v>
      </c>
      <c r="G75" t="b">
        <f t="shared" si="7"/>
        <v>0</v>
      </c>
      <c r="H75" t="b">
        <f t="shared" si="8"/>
        <v>0</v>
      </c>
      <c r="I75" t="b">
        <f t="shared" ca="1" si="9"/>
        <v>0</v>
      </c>
    </row>
    <row r="76" spans="1:9" x14ac:dyDescent="0.25">
      <c r="A76" s="1">
        <v>45700</v>
      </c>
      <c r="B76" s="4">
        <f>IFERROR(Merged_data[[#This Row],[BTCUSD_Close]]/Merged_data!D75-1,"")</f>
        <v>2.3867092887183583E-2</v>
      </c>
      <c r="C76" s="4">
        <f>IFERROR(Merged_data[[#This Row],[XAUUSD_Close]]/Merged_data!C75-1, "")</f>
        <v>2.184581616383241E-3</v>
      </c>
      <c r="D76" s="4">
        <f>IFERROR(Merged_data[[#This Row],[AAPL_Close]]/Merged_data!B75-1,"")</f>
        <v>1.8270140142722102E-2</v>
      </c>
      <c r="E76" s="18">
        <f t="shared" si="5"/>
        <v>1.3515002555525001E-2</v>
      </c>
      <c r="F76" s="19">
        <f t="shared" si="6"/>
        <v>13515.002555525001</v>
      </c>
      <c r="G76" t="b">
        <f t="shared" si="7"/>
        <v>0</v>
      </c>
      <c r="H76" t="b">
        <f t="shared" si="8"/>
        <v>0</v>
      </c>
      <c r="I76" t="b">
        <f t="shared" ca="1" si="9"/>
        <v>0</v>
      </c>
    </row>
    <row r="77" spans="1:9" x14ac:dyDescent="0.25">
      <c r="A77" s="1">
        <v>45701</v>
      </c>
      <c r="B77" s="4">
        <f>IFERROR(Merged_data[[#This Row],[BTCUSD_Close]]/Merged_data!D76-1,"")</f>
        <v>-1.4897114629678243E-2</v>
      </c>
      <c r="C77" s="4">
        <f>IFERROR(Merged_data[[#This Row],[XAUUSD_Close]]/Merged_data!C76-1, "")</f>
        <v>8.343922504485235E-3</v>
      </c>
      <c r="D77" s="4">
        <f>IFERROR(Merged_data[[#This Row],[AAPL_Close]]/Merged_data!B76-1,"")</f>
        <v>1.9673238485245159E-2</v>
      </c>
      <c r="E77" s="18">
        <f t="shared" si="5"/>
        <v>4.7704061584641702E-3</v>
      </c>
      <c r="F77" s="19">
        <f t="shared" si="6"/>
        <v>4770.4061584641704</v>
      </c>
      <c r="G77" t="b">
        <f t="shared" si="7"/>
        <v>0</v>
      </c>
      <c r="H77" t="b">
        <f t="shared" si="8"/>
        <v>0</v>
      </c>
      <c r="I77" t="b">
        <f t="shared" ca="1" si="9"/>
        <v>0</v>
      </c>
    </row>
    <row r="78" spans="1:9" x14ac:dyDescent="0.25">
      <c r="A78" s="1">
        <v>45702</v>
      </c>
      <c r="B78" s="4">
        <f>IFERROR(Merged_data[[#This Row],[BTCUSD_Close]]/Merged_data!D77-1,"")</f>
        <v>8.2295216707277685E-3</v>
      </c>
      <c r="C78" s="4">
        <f>IFERROR(Merged_data[[#This Row],[XAUUSD_Close]]/Merged_data!C77-1, "")</f>
        <v>-1.467825991926619E-2</v>
      </c>
      <c r="D78" s="4">
        <f>IFERROR(Merged_data[[#This Row],[AAPL_Close]]/Merged_data!B77-1,"")</f>
        <v>1.2710636359872352E-2</v>
      </c>
      <c r="E78" s="18">
        <f t="shared" si="5"/>
        <v>4.107434414735594E-4</v>
      </c>
      <c r="F78" s="19">
        <f t="shared" si="6"/>
        <v>410.74344147355941</v>
      </c>
      <c r="G78" t="b">
        <f t="shared" si="7"/>
        <v>0</v>
      </c>
      <c r="H78" t="b">
        <f t="shared" si="8"/>
        <v>0</v>
      </c>
      <c r="I78" t="b">
        <f t="shared" ca="1" si="9"/>
        <v>0</v>
      </c>
    </row>
    <row r="79" spans="1:9" x14ac:dyDescent="0.25">
      <c r="A79" s="1">
        <v>45706</v>
      </c>
      <c r="B79" s="4">
        <f>IFERROR(Merged_data[[#This Row],[BTCUSD_Close]]/Merged_data!D78-1,"")</f>
        <v>-1.9415686944563859E-2</v>
      </c>
      <c r="C79" s="4">
        <f>IFERROR(Merged_data[[#This Row],[XAUUSD_Close]]/Merged_data!C78-1, "")</f>
        <v>1.7375119577423881E-2</v>
      </c>
      <c r="D79" s="4">
        <f>IFERROR(Merged_data[[#This Row],[AAPL_Close]]/Merged_data!B78-1,"")</f>
        <v>-5.3147996729352442E-4</v>
      </c>
      <c r="E79" s="18">
        <f t="shared" si="5"/>
        <v>9.6589775741233767E-4</v>
      </c>
      <c r="F79" s="19">
        <f t="shared" si="6"/>
        <v>965.89775741233768</v>
      </c>
      <c r="G79" t="b">
        <f t="shared" si="7"/>
        <v>0</v>
      </c>
      <c r="H79" t="b">
        <f t="shared" si="8"/>
        <v>0</v>
      </c>
      <c r="I79" t="b">
        <f t="shared" ca="1" si="9"/>
        <v>0</v>
      </c>
    </row>
    <row r="80" spans="1:9" x14ac:dyDescent="0.25">
      <c r="A80" s="1">
        <v>45707</v>
      </c>
      <c r="B80" s="4">
        <f>IFERROR(Merged_data[[#This Row],[BTCUSD_Close]]/Merged_data!D79-1,"")</f>
        <v>1.3233319792457232E-2</v>
      </c>
      <c r="C80" s="4">
        <f>IFERROR(Merged_data[[#This Row],[XAUUSD_Close]]/Merged_data!C79-1, "")</f>
        <v>-8.0060232549417076E-4</v>
      </c>
      <c r="D80" s="4">
        <f>IFERROR(Merged_data[[#This Row],[AAPL_Close]]/Merged_data!B79-1,"")</f>
        <v>1.636192579866691E-3</v>
      </c>
      <c r="E80" s="18">
        <f t="shared" si="5"/>
        <v>4.1406127814995084E-3</v>
      </c>
      <c r="F80" s="19">
        <f t="shared" si="6"/>
        <v>4140.6127814995089</v>
      </c>
      <c r="G80" t="b">
        <f t="shared" si="7"/>
        <v>0</v>
      </c>
      <c r="H80" t="b">
        <f t="shared" si="8"/>
        <v>0</v>
      </c>
      <c r="I80" t="b">
        <f t="shared" ca="1" si="9"/>
        <v>0</v>
      </c>
    </row>
    <row r="81" spans="1:9" x14ac:dyDescent="0.25">
      <c r="A81" s="1">
        <v>45708</v>
      </c>
      <c r="B81" s="4">
        <f>IFERROR(Merged_data[[#This Row],[BTCUSD_Close]]/Merged_data!D80-1,"")</f>
        <v>1.6803449368990142E-2</v>
      </c>
      <c r="C81" s="4">
        <f>IFERROR(Merged_data[[#This Row],[XAUUSD_Close]]/Merged_data!C80-1, "")</f>
        <v>2.2963306443364306E-3</v>
      </c>
      <c r="D81" s="4">
        <f>IFERROR(Merged_data[[#This Row],[AAPL_Close]]/Merged_data!B80-1,"")</f>
        <v>3.9204475844325515E-3</v>
      </c>
      <c r="E81" s="18">
        <f t="shared" si="5"/>
        <v>7.13570134376138E-3</v>
      </c>
      <c r="F81" s="19">
        <f t="shared" si="6"/>
        <v>7135.7013437613796</v>
      </c>
      <c r="G81" t="b">
        <f t="shared" si="7"/>
        <v>0</v>
      </c>
      <c r="H81" t="b">
        <f t="shared" si="8"/>
        <v>0</v>
      </c>
      <c r="I81" t="b">
        <f t="shared" ca="1" si="9"/>
        <v>0</v>
      </c>
    </row>
    <row r="82" spans="1:9" x14ac:dyDescent="0.25">
      <c r="A82" s="1">
        <v>45709</v>
      </c>
      <c r="B82" s="4">
        <f>IFERROR(Merged_data[[#This Row],[BTCUSD_Close]]/Merged_data!D81-1,"")</f>
        <v>-3.062665435894929E-2</v>
      </c>
      <c r="C82" s="4">
        <f>IFERROR(Merged_data[[#This Row],[XAUUSD_Close]]/Merged_data!C81-1, "")</f>
        <v>-1.6175257468937776E-3</v>
      </c>
      <c r="D82" s="4">
        <f>IFERROR(Merged_data[[#This Row],[AAPL_Close]]/Merged_data!B81-1,"")</f>
        <v>-1.1389984948948495E-3</v>
      </c>
      <c r="E82" s="18">
        <f t="shared" si="5"/>
        <v>-1.0176706154910753E-2</v>
      </c>
      <c r="F82" s="19">
        <f t="shared" si="6"/>
        <v>10176.706154910753</v>
      </c>
      <c r="G82" t="b">
        <f t="shared" si="7"/>
        <v>0</v>
      </c>
      <c r="H82" t="b">
        <f t="shared" si="8"/>
        <v>0</v>
      </c>
      <c r="I82" t="b">
        <f t="shared" ca="1" si="9"/>
        <v>0</v>
      </c>
    </row>
    <row r="83" spans="1:9" x14ac:dyDescent="0.25">
      <c r="A83" s="1">
        <v>45712</v>
      </c>
      <c r="B83" s="4">
        <f>IFERROR(Merged_data[[#This Row],[BTCUSD_Close]]/Merged_data!D82-1,"")</f>
        <v>-2.8443261673382736E-2</v>
      </c>
      <c r="C83" s="4">
        <f>IFERROR(Merged_data[[#This Row],[XAUUSD_Close]]/Merged_data!C82-1, "")</f>
        <v>6.0785302495469651E-3</v>
      </c>
      <c r="D83" s="4">
        <f>IFERROR(Merged_data[[#This Row],[AAPL_Close]]/Merged_data!B82-1,"")</f>
        <v>6.605579311748988E-3</v>
      </c>
      <c r="E83" s="18">
        <f t="shared" si="5"/>
        <v>-4.1198926086713382E-3</v>
      </c>
      <c r="F83" s="19">
        <f t="shared" si="6"/>
        <v>4119.8926086713382</v>
      </c>
      <c r="G83" t="b">
        <f t="shared" si="7"/>
        <v>0</v>
      </c>
      <c r="H83" t="b">
        <f t="shared" si="8"/>
        <v>0</v>
      </c>
      <c r="I83" t="b">
        <f t="shared" ca="1" si="9"/>
        <v>0</v>
      </c>
    </row>
    <row r="84" spans="1:9" x14ac:dyDescent="0.25">
      <c r="A84" s="1">
        <v>45713</v>
      </c>
      <c r="B84" s="4">
        <f>IFERROR(Merged_data[[#This Row],[BTCUSD_Close]]/Merged_data!D83-1,"")</f>
        <v>-4.0224973387452789E-2</v>
      </c>
      <c r="C84" s="4">
        <f>IFERROR(Merged_data[[#This Row],[XAUUSD_Close]]/Merged_data!C83-1, "")</f>
        <v>-1.2789728931576039E-2</v>
      </c>
      <c r="D84" s="4">
        <f>IFERROR(Merged_data[[#This Row],[AAPL_Close]]/Merged_data!B83-1,"")</f>
        <v>-5.340410726134559E-4</v>
      </c>
      <c r="E84" s="18">
        <f t="shared" si="5"/>
        <v>-1.7343595910650288E-2</v>
      </c>
      <c r="F84" s="19">
        <f t="shared" si="6"/>
        <v>17343.595910650289</v>
      </c>
      <c r="G84" t="b">
        <f t="shared" si="7"/>
        <v>0</v>
      </c>
      <c r="H84" t="b">
        <f t="shared" si="8"/>
        <v>0</v>
      </c>
      <c r="I84" t="b">
        <f t="shared" ca="1" si="9"/>
        <v>0</v>
      </c>
    </row>
    <row r="85" spans="1:9" x14ac:dyDescent="0.25">
      <c r="A85" s="1">
        <v>45714</v>
      </c>
      <c r="B85" s="4">
        <f>IFERROR(Merged_data[[#This Row],[BTCUSD_Close]]/Merged_data!D84-1,"")</f>
        <v>-5.0717262196613433E-2</v>
      </c>
      <c r="C85" s="4">
        <f>IFERROR(Merged_data[[#This Row],[XAUUSD_Close]]/Merged_data!C84-1, "")</f>
        <v>4.7512945991345923E-4</v>
      </c>
      <c r="D85" s="4">
        <f>IFERROR(Merged_data[[#This Row],[AAPL_Close]]/Merged_data!B84-1,"")</f>
        <v>-2.7040155440414382E-2</v>
      </c>
      <c r="E85" s="18">
        <f t="shared" si="5"/>
        <v>-2.313717350714296E-2</v>
      </c>
      <c r="F85" s="19">
        <f t="shared" si="6"/>
        <v>23137.173507142961</v>
      </c>
      <c r="G85" t="b">
        <f t="shared" si="7"/>
        <v>0</v>
      </c>
      <c r="H85" t="b">
        <f t="shared" si="8"/>
        <v>0</v>
      </c>
      <c r="I85" t="b">
        <f t="shared" ca="1" si="9"/>
        <v>0</v>
      </c>
    </row>
    <row r="86" spans="1:9" x14ac:dyDescent="0.25">
      <c r="A86" s="1">
        <v>45715</v>
      </c>
      <c r="B86" s="4">
        <f>IFERROR(Merged_data[[#This Row],[BTCUSD_Close]]/Merged_data!D85-1,"")</f>
        <v>4.5690022643158912E-3</v>
      </c>
      <c r="C86" s="4">
        <f>IFERROR(Merged_data[[#This Row],[XAUUSD_Close]]/Merged_data!C85-1, "")</f>
        <v>-1.347903908269843E-2</v>
      </c>
      <c r="D86" s="4">
        <f>IFERROR(Merged_data[[#This Row],[AAPL_Close]]/Merged_data!B85-1,"")</f>
        <v>-1.273090364453322E-2</v>
      </c>
      <c r="E86" s="18">
        <f t="shared" si="5"/>
        <v>-7.840186047144572E-3</v>
      </c>
      <c r="F86" s="19">
        <f t="shared" si="6"/>
        <v>7840.1860471445716</v>
      </c>
      <c r="G86" t="b">
        <f t="shared" si="7"/>
        <v>0</v>
      </c>
      <c r="H86" t="b">
        <f t="shared" si="8"/>
        <v>0</v>
      </c>
      <c r="I86" t="b">
        <f t="shared" ca="1" si="9"/>
        <v>0</v>
      </c>
    </row>
    <row r="87" spans="1:9" x14ac:dyDescent="0.25">
      <c r="A87" s="1">
        <v>45716</v>
      </c>
      <c r="B87" s="4">
        <f>IFERROR(Merged_data[[#This Row],[BTCUSD_Close]]/Merged_data!D86-1,"")</f>
        <v>-5.6285422170214705E-3</v>
      </c>
      <c r="C87" s="4">
        <f>IFERROR(Merged_data[[#This Row],[XAUUSD_Close]]/Merged_data!C86-1, "")</f>
        <v>-7.6901152909035764E-3</v>
      </c>
      <c r="D87" s="4">
        <f>IFERROR(Merged_data[[#This Row],[AAPL_Close]]/Merged_data!B86-1,"")</f>
        <v>1.913190054782965E-2</v>
      </c>
      <c r="E87" s="18">
        <f t="shared" si="5"/>
        <v>9.7496138288102364E-4</v>
      </c>
      <c r="F87" s="19">
        <f t="shared" si="6"/>
        <v>974.96138288102361</v>
      </c>
      <c r="G87" t="b">
        <f t="shared" si="7"/>
        <v>0</v>
      </c>
      <c r="H87" t="b">
        <f t="shared" si="8"/>
        <v>0</v>
      </c>
      <c r="I87" t="b">
        <f t="shared" ca="1" si="9"/>
        <v>0</v>
      </c>
    </row>
    <row r="88" spans="1:9" x14ac:dyDescent="0.25">
      <c r="A88" s="1">
        <v>45719</v>
      </c>
      <c r="B88" s="4">
        <f>IFERROR(Merged_data[[#This Row],[BTCUSD_Close]]/Merged_data!D87-1,"")</f>
        <v>2.9080582871637617E-2</v>
      </c>
      <c r="C88" s="4">
        <f>IFERROR(Merged_data[[#This Row],[XAUUSD_Close]]/Merged_data!C87-1, "")</f>
        <v>1.3266455220678486E-2</v>
      </c>
      <c r="D88" s="4">
        <f>IFERROR(Merged_data[[#This Row],[AAPL_Close]]/Merged_data!B87-1,"")</f>
        <v>-1.5754217664571635E-2</v>
      </c>
      <c r="E88" s="18">
        <f t="shared" si="5"/>
        <v>9.3044916503911869E-3</v>
      </c>
      <c r="F88" s="19">
        <f t="shared" si="6"/>
        <v>9304.4916503911863</v>
      </c>
      <c r="G88" t="b">
        <f t="shared" si="7"/>
        <v>0</v>
      </c>
      <c r="H88" t="b">
        <f t="shared" si="8"/>
        <v>0</v>
      </c>
      <c r="I88" t="b">
        <f t="shared" ca="1" si="9"/>
        <v>0</v>
      </c>
    </row>
    <row r="89" spans="1:9" x14ac:dyDescent="0.25">
      <c r="A89" s="1">
        <v>45720</v>
      </c>
      <c r="B89" s="4">
        <f>IFERROR(Merged_data[[#This Row],[BTCUSD_Close]]/Merged_data!D88-1,"")</f>
        <v>1.0188877132837559E-2</v>
      </c>
      <c r="C89" s="4">
        <f>IFERROR(Merged_data[[#This Row],[XAUUSD_Close]]/Merged_data!C88-1, "")</f>
        <v>8.7008524553893185E-3</v>
      </c>
      <c r="D89" s="4">
        <f>IFERROR(Merged_data[[#This Row],[AAPL_Close]]/Merged_data!B88-1,"")</f>
        <v>-8.8224173423517849E-3</v>
      </c>
      <c r="E89" s="18">
        <f t="shared" si="5"/>
        <v>3.8902789193014601E-3</v>
      </c>
      <c r="F89" s="19">
        <f t="shared" si="6"/>
        <v>3890.2789193014601</v>
      </c>
      <c r="G89" t="b">
        <f t="shared" si="7"/>
        <v>0</v>
      </c>
      <c r="H89" t="b">
        <f t="shared" si="8"/>
        <v>0</v>
      </c>
      <c r="I89" t="b">
        <f t="shared" ca="1" si="9"/>
        <v>0</v>
      </c>
    </row>
    <row r="90" spans="1:9" x14ac:dyDescent="0.25">
      <c r="A90" s="1">
        <v>45721</v>
      </c>
      <c r="B90" s="4">
        <f>IFERROR(Merged_data[[#This Row],[BTCUSD_Close]]/Merged_data!D89-1,"")</f>
        <v>3.4188268735800165E-2</v>
      </c>
      <c r="C90" s="4">
        <f>IFERROR(Merged_data[[#This Row],[XAUUSD_Close]]/Merged_data!C89-1, "")</f>
        <v>4.0438795198083355E-4</v>
      </c>
      <c r="D90" s="4">
        <f>IFERROR(Merged_data[[#This Row],[AAPL_Close]]/Merged_data!B89-1,"")</f>
        <v>-8.053236129360597E-4</v>
      </c>
      <c r="E90" s="18">
        <f t="shared" si="5"/>
        <v>1.0176638717651565E-2</v>
      </c>
      <c r="F90" s="19">
        <f t="shared" si="6"/>
        <v>10176.638717651565</v>
      </c>
      <c r="G90" t="b">
        <f t="shared" si="7"/>
        <v>0</v>
      </c>
      <c r="H90" t="b">
        <f t="shared" si="8"/>
        <v>0</v>
      </c>
      <c r="I90" t="b">
        <f t="shared" ca="1" si="9"/>
        <v>0</v>
      </c>
    </row>
    <row r="91" spans="1:9" x14ac:dyDescent="0.25">
      <c r="A91" s="1">
        <v>45722</v>
      </c>
      <c r="B91" s="4">
        <f>IFERROR(Merged_data[[#This Row],[BTCUSD_Close]]/Merged_data!D90-1,"")</f>
        <v>-1.6517979057324439E-3</v>
      </c>
      <c r="C91" s="4">
        <f>IFERROR(Merged_data[[#This Row],[XAUUSD_Close]]/Merged_data!C90-1, "")</f>
        <v>-2.7507819003347311E-3</v>
      </c>
      <c r="D91" s="4">
        <f>IFERROR(Merged_data[[#This Row],[AAPL_Close]]/Merged_data!B90-1,"")</f>
        <v>-1.7392042080257575E-3</v>
      </c>
      <c r="E91" s="18">
        <f t="shared" si="5"/>
        <v>-2.1176133942613527E-3</v>
      </c>
      <c r="F91" s="19">
        <f t="shared" si="6"/>
        <v>2117.6133942613528</v>
      </c>
      <c r="G91" t="b">
        <f t="shared" si="7"/>
        <v>0</v>
      </c>
      <c r="H91" t="b">
        <f t="shared" si="8"/>
        <v>0</v>
      </c>
      <c r="I91" t="b">
        <f t="shared" ca="1" si="9"/>
        <v>0</v>
      </c>
    </row>
    <row r="92" spans="1:9" x14ac:dyDescent="0.25">
      <c r="A92" s="1">
        <v>45723</v>
      </c>
      <c r="B92" s="4">
        <f>IFERROR(Merged_data[[#This Row],[BTCUSD_Close]]/Merged_data!D91-1,"")</f>
        <v>-2.8715080705445817E-2</v>
      </c>
      <c r="C92" s="4">
        <f>IFERROR(Merged_data[[#This Row],[XAUUSD_Close]]/Merged_data!C91-1, "")</f>
        <v>-6.1144431391124687E-4</v>
      </c>
      <c r="D92" s="4">
        <f>IFERROR(Merged_data[[#This Row],[AAPL_Close]]/Merged_data!B91-1,"")</f>
        <v>1.589257638210162E-2</v>
      </c>
      <c r="E92" s="18">
        <f t="shared" si="5"/>
        <v>-4.0913290225677579E-3</v>
      </c>
      <c r="F92" s="19">
        <f t="shared" si="6"/>
        <v>4091.3290225677579</v>
      </c>
      <c r="G92" t="b">
        <f t="shared" si="7"/>
        <v>0</v>
      </c>
      <c r="H92" t="b">
        <f t="shared" si="8"/>
        <v>0</v>
      </c>
      <c r="I92" t="b">
        <f t="shared" ca="1" si="9"/>
        <v>0</v>
      </c>
    </row>
    <row r="93" spans="1:9" x14ac:dyDescent="0.25">
      <c r="A93" s="1">
        <v>45726</v>
      </c>
      <c r="B93" s="4">
        <f>IFERROR(Merged_data[[#This Row],[BTCUSD_Close]]/Merged_data!D92-1,"")</f>
        <v>-9.4080584142678947E-2</v>
      </c>
      <c r="C93" s="4">
        <f>IFERROR(Merged_data[[#This Row],[XAUUSD_Close]]/Merged_data!C92-1, "")</f>
        <v>-8.3798498638876229E-3</v>
      </c>
      <c r="D93" s="4">
        <f>IFERROR(Merged_data[[#This Row],[AAPL_Close]]/Merged_data!B92-1,"")</f>
        <v>-4.8479524825364995E-2</v>
      </c>
      <c r="E93" s="18">
        <f t="shared" si="5"/>
        <v>-4.6119972635968232E-2</v>
      </c>
      <c r="F93" s="19">
        <f t="shared" si="6"/>
        <v>46119.972635968232</v>
      </c>
      <c r="G93" t="b">
        <f t="shared" si="7"/>
        <v>1</v>
      </c>
      <c r="H93" t="b">
        <f t="shared" si="8"/>
        <v>1</v>
      </c>
      <c r="I93" t="b">
        <f t="shared" ca="1" si="9"/>
        <v>1</v>
      </c>
    </row>
    <row r="94" spans="1:9" x14ac:dyDescent="0.25">
      <c r="A94" s="1">
        <v>45727</v>
      </c>
      <c r="B94" s="4">
        <f>IFERROR(Merged_data[[#This Row],[BTCUSD_Close]]/Merged_data!D93-1,"")</f>
        <v>4.6044657679416678E-2</v>
      </c>
      <c r="C94" s="4">
        <f>IFERROR(Merged_data[[#This Row],[XAUUSD_Close]]/Merged_data!C93-1, "")</f>
        <v>1.1275641425590566E-2</v>
      </c>
      <c r="D94" s="4">
        <f>IFERROR(Merged_data[[#This Row],[AAPL_Close]]/Merged_data!B93-1,"")</f>
        <v>-2.9189379286091E-2</v>
      </c>
      <c r="E94" s="18">
        <f t="shared" si="5"/>
        <v>9.5668400882339289E-3</v>
      </c>
      <c r="F94" s="19">
        <f t="shared" si="6"/>
        <v>9566.8400882339283</v>
      </c>
      <c r="G94" t="b">
        <f t="shared" si="7"/>
        <v>0</v>
      </c>
      <c r="H94" t="b">
        <f t="shared" si="8"/>
        <v>0</v>
      </c>
      <c r="I94" t="b">
        <f t="shared" ca="1" si="9"/>
        <v>0</v>
      </c>
    </row>
    <row r="95" spans="1:9" x14ac:dyDescent="0.25">
      <c r="A95" s="1">
        <v>45728</v>
      </c>
      <c r="B95" s="4">
        <f>IFERROR(Merged_data[[#This Row],[BTCUSD_Close]]/Merged_data!D94-1,"")</f>
        <v>6.2891265610016678E-3</v>
      </c>
      <c r="C95" s="4">
        <f>IFERROR(Merged_data[[#This Row],[XAUUSD_Close]]/Merged_data!C94-1, "")</f>
        <v>7.0779534603135907E-3</v>
      </c>
      <c r="D95" s="4">
        <f>IFERROR(Merged_data[[#This Row],[AAPL_Close]]/Merged_data!B94-1,"")</f>
        <v>-1.7478717623618967E-2</v>
      </c>
      <c r="E95" s="18">
        <f t="shared" si="5"/>
        <v>-5.2569593465975287E-4</v>
      </c>
      <c r="F95" s="19">
        <f t="shared" si="6"/>
        <v>525.69593465975288</v>
      </c>
      <c r="G95" t="b">
        <f t="shared" si="7"/>
        <v>0</v>
      </c>
      <c r="H95" t="b">
        <f t="shared" si="8"/>
        <v>0</v>
      </c>
      <c r="I95" t="b">
        <f t="shared" ca="1" si="9"/>
        <v>0</v>
      </c>
    </row>
    <row r="96" spans="1:9" x14ac:dyDescent="0.25">
      <c r="A96" s="1">
        <v>45729</v>
      </c>
      <c r="B96" s="4">
        <f>IFERROR(Merged_data[[#This Row],[BTCUSD_Close]]/Merged_data!D95-1,"")</f>
        <v>-2.716705087858573E-2</v>
      </c>
      <c r="C96" s="4">
        <f>IFERROR(Merged_data[[#This Row],[XAUUSD_Close]]/Merged_data!C95-1, "")</f>
        <v>1.6733261633130825E-2</v>
      </c>
      <c r="D96" s="4">
        <f>IFERROR(Merged_data[[#This Row],[AAPL_Close]]/Merged_data!B95-1,"")</f>
        <v>-3.364365379297618E-2</v>
      </c>
      <c r="E96" s="18">
        <f t="shared" si="5"/>
        <v>-1.1549906748216241E-2</v>
      </c>
      <c r="F96" s="19">
        <f t="shared" si="6"/>
        <v>11549.906748216241</v>
      </c>
      <c r="G96" t="b">
        <f t="shared" si="7"/>
        <v>0</v>
      </c>
      <c r="H96" t="b">
        <f t="shared" si="8"/>
        <v>0</v>
      </c>
      <c r="I96" t="b">
        <f t="shared" ca="1" si="9"/>
        <v>0</v>
      </c>
    </row>
    <row r="97" spans="1:9" x14ac:dyDescent="0.25">
      <c r="A97" s="1">
        <v>45730</v>
      </c>
      <c r="B97" s="4">
        <f>IFERROR(Merged_data[[#This Row],[BTCUSD_Close]]/Merged_data!D96-1,"")</f>
        <v>3.4230841556838865E-2</v>
      </c>
      <c r="C97" s="4">
        <f>IFERROR(Merged_data[[#This Row],[XAUUSD_Close]]/Merged_data!C96-1, "")</f>
        <v>-7.6322462403644042E-4</v>
      </c>
      <c r="D97" s="4">
        <f>IFERROR(Merged_data[[#This Row],[AAPL_Close]]/Merged_data!B96-1,"")</f>
        <v>1.8170545593285015E-2</v>
      </c>
      <c r="E97" s="18">
        <f t="shared" si="5"/>
        <v>1.5415126295422587E-2</v>
      </c>
      <c r="F97" s="19">
        <f t="shared" si="6"/>
        <v>15415.126295422588</v>
      </c>
      <c r="G97" t="b">
        <f t="shared" si="7"/>
        <v>0</v>
      </c>
      <c r="H97" t="b">
        <f t="shared" si="8"/>
        <v>0</v>
      </c>
      <c r="I97" t="b">
        <f t="shared" ca="1" si="9"/>
        <v>0</v>
      </c>
    </row>
    <row r="98" spans="1:9" x14ac:dyDescent="0.25">
      <c r="A98" s="1">
        <v>45733</v>
      </c>
      <c r="B98" s="4">
        <f>IFERROR(Merged_data[[#This Row],[BTCUSD_Close]]/Merged_data!D97-1,"")</f>
        <v>-1.0921311888423268E-3</v>
      </c>
      <c r="C98" s="4">
        <f>IFERROR(Merged_data[[#This Row],[XAUUSD_Close]]/Merged_data!C97-1, "")</f>
        <v>5.1054506715977332E-3</v>
      </c>
      <c r="D98" s="4">
        <f>IFERROR(Merged_data[[#This Row],[AAPL_Close]]/Merged_data!B97-1,"")</f>
        <v>2.3888706730994524E-3</v>
      </c>
      <c r="E98" s="18">
        <f t="shared" si="5"/>
        <v>2.431202113916231E-3</v>
      </c>
      <c r="F98" s="19">
        <f t="shared" si="6"/>
        <v>2431.2021139162312</v>
      </c>
      <c r="G98" t="b">
        <f t="shared" si="7"/>
        <v>0</v>
      </c>
      <c r="H98" t="b">
        <f t="shared" si="8"/>
        <v>0</v>
      </c>
      <c r="I98" t="b">
        <f t="shared" ca="1" si="9"/>
        <v>0</v>
      </c>
    </row>
    <row r="99" spans="1:9" x14ac:dyDescent="0.25">
      <c r="A99" s="1">
        <v>45734</v>
      </c>
      <c r="B99" s="4">
        <f>IFERROR(Merged_data[[#This Row],[BTCUSD_Close]]/Merged_data!D98-1,"")</f>
        <v>-2.0049848017083982E-2</v>
      </c>
      <c r="C99" s="4">
        <f>IFERROR(Merged_data[[#This Row],[XAUUSD_Close]]/Merged_data!C98-1, "")</f>
        <v>1.1420581711404143E-2</v>
      </c>
      <c r="D99" s="4">
        <f>IFERROR(Merged_data[[#This Row],[AAPL_Close]]/Merged_data!B98-1,"")</f>
        <v>-6.1214953271028216E-3</v>
      </c>
      <c r="E99" s="18">
        <f t="shared" si="5"/>
        <v>-3.2831703186943827E-3</v>
      </c>
      <c r="F99" s="19">
        <f t="shared" si="6"/>
        <v>3283.1703186943828</v>
      </c>
      <c r="G99" t="b">
        <f t="shared" si="7"/>
        <v>0</v>
      </c>
      <c r="H99" t="b">
        <f t="shared" si="8"/>
        <v>0</v>
      </c>
      <c r="I99" t="b">
        <f t="shared" ca="1" si="9"/>
        <v>0</v>
      </c>
    </row>
    <row r="100" spans="1:9" x14ac:dyDescent="0.25">
      <c r="A100" s="1">
        <v>45735</v>
      </c>
      <c r="B100" s="4">
        <f>IFERROR(Merged_data[[#This Row],[BTCUSD_Close]]/Merged_data!D99-1,"")</f>
        <v>4.5874600280198408E-2</v>
      </c>
      <c r="C100" s="4">
        <f>IFERROR(Merged_data[[#This Row],[XAUUSD_Close]]/Merged_data!C99-1, "")</f>
        <v>5.1605674646981736E-3</v>
      </c>
      <c r="D100" s="4">
        <f>IFERROR(Merged_data[[#This Row],[AAPL_Close]]/Merged_data!B99-1,"")</f>
        <v>1.1989280173021921E-2</v>
      </c>
      <c r="E100" s="18">
        <f t="shared" si="5"/>
        <v>1.9423391121845365E-2</v>
      </c>
      <c r="F100" s="19">
        <f t="shared" si="6"/>
        <v>19423.391121845365</v>
      </c>
      <c r="G100" t="b">
        <f t="shared" si="7"/>
        <v>0</v>
      </c>
      <c r="H100" t="b">
        <f t="shared" si="8"/>
        <v>0</v>
      </c>
      <c r="I100" t="b">
        <f t="shared" ca="1" si="9"/>
        <v>0</v>
      </c>
    </row>
    <row r="101" spans="1:9" x14ac:dyDescent="0.25">
      <c r="A101" s="1">
        <v>45736</v>
      </c>
      <c r="B101" s="4">
        <f>IFERROR(Merged_data[[#This Row],[BTCUSD_Close]]/Merged_data!D100-1,"")</f>
        <v>-2.3865655858635426E-2</v>
      </c>
      <c r="C101" s="4">
        <f>IFERROR(Merged_data[[#This Row],[XAUUSD_Close]]/Merged_data!C100-1, "")</f>
        <v>-1.4425236295205757E-3</v>
      </c>
      <c r="D101" s="4">
        <f>IFERROR(Merged_data[[#This Row],[AAPL_Close]]/Merged_data!B100-1,"")</f>
        <v>-5.2964133060769969E-3</v>
      </c>
      <c r="E101" s="18">
        <f t="shared" si="5"/>
        <v>-9.3256302012219572E-3</v>
      </c>
      <c r="F101" s="19">
        <f t="shared" si="6"/>
        <v>9325.6302012219567</v>
      </c>
      <c r="G101" t="b">
        <f t="shared" si="7"/>
        <v>0</v>
      </c>
      <c r="H101" t="b">
        <f t="shared" si="8"/>
        <v>0</v>
      </c>
      <c r="I101" t="b">
        <f t="shared" ca="1" si="9"/>
        <v>0</v>
      </c>
    </row>
    <row r="102" spans="1:9" x14ac:dyDescent="0.25">
      <c r="A102" s="1">
        <v>45737</v>
      </c>
      <c r="B102" s="4">
        <f>IFERROR(Merged_data[[#This Row],[BTCUSD_Close]]/Merged_data!D101-1,"")</f>
        <v>9.263564462635987E-4</v>
      </c>
      <c r="C102" s="4">
        <f>IFERROR(Merged_data[[#This Row],[XAUUSD_Close]]/Merged_data!C101-1, "")</f>
        <v>-7.2131879532866261E-3</v>
      </c>
      <c r="D102" s="4">
        <f>IFERROR(Merged_data[[#This Row],[AAPL_Close]]/Merged_data!B101-1,"")</f>
        <v>1.9476879962634364E-2</v>
      </c>
      <c r="E102" s="18">
        <f t="shared" si="5"/>
        <v>3.2356957413547383E-3</v>
      </c>
      <c r="F102" s="19">
        <f t="shared" si="6"/>
        <v>3235.6957413547384</v>
      </c>
      <c r="G102" t="b">
        <f t="shared" si="7"/>
        <v>0</v>
      </c>
      <c r="H102" t="b">
        <f t="shared" si="8"/>
        <v>0</v>
      </c>
      <c r="I102" t="b">
        <f t="shared" ca="1" si="9"/>
        <v>0</v>
      </c>
    </row>
    <row r="103" spans="1:9" x14ac:dyDescent="0.25">
      <c r="A103" s="1">
        <v>45740</v>
      </c>
      <c r="B103" s="4">
        <f>IFERROR(Merged_data[[#This Row],[BTCUSD_Close]]/Merged_data!D102-1,"")</f>
        <v>3.8804430990319716E-2</v>
      </c>
      <c r="C103" s="4">
        <f>IFERROR(Merged_data[[#This Row],[XAUUSD_Close]]/Merged_data!C102-1, "")</f>
        <v>-4.061061431821833E-3</v>
      </c>
      <c r="D103" s="4">
        <f>IFERROR(Merged_data[[#This Row],[AAPL_Close]]/Merged_data!B102-1,"")</f>
        <v>1.1270444861868123E-2</v>
      </c>
      <c r="E103" s="18">
        <f t="shared" si="5"/>
        <v>1.3398038182927619E-2</v>
      </c>
      <c r="F103" s="19">
        <f t="shared" si="6"/>
        <v>13398.038182927619</v>
      </c>
      <c r="G103" t="b">
        <f t="shared" si="7"/>
        <v>0</v>
      </c>
      <c r="H103" t="b">
        <f t="shared" si="8"/>
        <v>0</v>
      </c>
      <c r="I103" t="b">
        <f t="shared" ca="1" si="9"/>
        <v>0</v>
      </c>
    </row>
    <row r="104" spans="1:9" x14ac:dyDescent="0.25">
      <c r="A104" s="1">
        <v>45741</v>
      </c>
      <c r="B104" s="4">
        <f>IFERROR(Merged_data[[#This Row],[BTCUSD_Close]]/Merged_data!D103-1,"")</f>
        <v>6.3817377082941995E-4</v>
      </c>
      <c r="C104" s="4">
        <f>IFERROR(Merged_data[[#This Row],[XAUUSD_Close]]/Merged_data!C103-1, "")</f>
        <v>3.2740506581308004E-3</v>
      </c>
      <c r="D104" s="4">
        <f>IFERROR(Merged_data[[#This Row],[AAPL_Close]]/Merged_data!B103-1,"")</f>
        <v>1.3681873782449117E-2</v>
      </c>
      <c r="E104" s="18">
        <f t="shared" si="5"/>
        <v>5.6056345292358808E-3</v>
      </c>
      <c r="F104" s="19">
        <f t="shared" si="6"/>
        <v>5605.634529235881</v>
      </c>
      <c r="G104" t="b">
        <f t="shared" si="7"/>
        <v>0</v>
      </c>
      <c r="H104" t="b">
        <f t="shared" si="8"/>
        <v>0</v>
      </c>
      <c r="I104" t="b">
        <f t="shared" ca="1" si="9"/>
        <v>0</v>
      </c>
    </row>
    <row r="105" spans="1:9" x14ac:dyDescent="0.25">
      <c r="A105" s="1">
        <v>45742</v>
      </c>
      <c r="B105" s="4">
        <f>IFERROR(Merged_data[[#This Row],[BTCUSD_Close]]/Merged_data!D104-1,"")</f>
        <v>-7.5286194978329002E-3</v>
      </c>
      <c r="C105" s="4">
        <f>IFERROR(Merged_data[[#This Row],[XAUUSD_Close]]/Merged_data!C104-1, "")</f>
        <v>-6.9503743273024998E-4</v>
      </c>
      <c r="D105" s="4">
        <f>IFERROR(Merged_data[[#This Row],[AAPL_Close]]/Merged_data!B104-1,"")</f>
        <v>-9.921787709497254E-3</v>
      </c>
      <c r="E105" s="18">
        <f t="shared" si="5"/>
        <v>-5.5131371352911459E-3</v>
      </c>
      <c r="F105" s="19">
        <f t="shared" si="6"/>
        <v>5513.1371352911456</v>
      </c>
      <c r="G105" t="b">
        <f t="shared" si="7"/>
        <v>0</v>
      </c>
      <c r="H105" t="b">
        <f t="shared" si="8"/>
        <v>0</v>
      </c>
      <c r="I105" t="b">
        <f t="shared" ca="1" si="9"/>
        <v>0</v>
      </c>
    </row>
    <row r="106" spans="1:9" x14ac:dyDescent="0.25">
      <c r="A106" s="1">
        <v>45743</v>
      </c>
      <c r="B106" s="4">
        <f>IFERROR(Merged_data[[#This Row],[BTCUSD_Close]]/Merged_data!D105-1,"")</f>
        <v>6.0022502680399104E-3</v>
      </c>
      <c r="C106" s="4">
        <f>IFERROR(Merged_data[[#This Row],[XAUUSD_Close]]/Merged_data!C105-1, "")</f>
        <v>1.189009445835465E-2</v>
      </c>
      <c r="D106" s="4">
        <f>IFERROR(Merged_data[[#This Row],[AAPL_Close]]/Merged_data!B105-1,"")</f>
        <v>1.047262221820966E-2</v>
      </c>
      <c r="E106" s="18">
        <f t="shared" si="5"/>
        <v>9.6984995292167305E-3</v>
      </c>
      <c r="F106" s="19">
        <f t="shared" si="6"/>
        <v>9698.4995292167314</v>
      </c>
      <c r="G106" t="b">
        <f t="shared" si="7"/>
        <v>0</v>
      </c>
      <c r="H106" t="b">
        <f t="shared" si="8"/>
        <v>0</v>
      </c>
      <c r="I106" t="b">
        <f t="shared" ca="1" si="9"/>
        <v>0</v>
      </c>
    </row>
    <row r="107" spans="1:9" x14ac:dyDescent="0.25">
      <c r="A107" s="1">
        <v>45744</v>
      </c>
      <c r="B107" s="4">
        <f>IFERROR(Merged_data[[#This Row],[BTCUSD_Close]]/Merged_data!D106-1,"")</f>
        <v>-4.1135454860781295E-2</v>
      </c>
      <c r="C107" s="4">
        <f>IFERROR(Merged_data[[#This Row],[XAUUSD_Close]]/Merged_data!C106-1, "")</f>
        <v>9.8290794116300262E-3</v>
      </c>
      <c r="D107" s="4">
        <f>IFERROR(Merged_data[[#This Row],[AAPL_Close]]/Merged_data!B106-1,"")</f>
        <v>-2.6580299307571997E-2</v>
      </c>
      <c r="E107" s="18">
        <f t="shared" si="5"/>
        <v>-1.6383094485853976E-2</v>
      </c>
      <c r="F107" s="19">
        <f t="shared" si="6"/>
        <v>16383.094485853975</v>
      </c>
      <c r="G107" t="b">
        <f t="shared" si="7"/>
        <v>0</v>
      </c>
      <c r="H107" t="b">
        <f t="shared" si="8"/>
        <v>0</v>
      </c>
      <c r="I107" t="b">
        <f t="shared" ca="1" si="9"/>
        <v>0</v>
      </c>
    </row>
    <row r="108" spans="1:9" x14ac:dyDescent="0.25">
      <c r="A108" s="1">
        <v>45747</v>
      </c>
      <c r="B108" s="4">
        <f>IFERROR(Merged_data[[#This Row],[BTCUSD_Close]]/Merged_data!D107-1,"")</f>
        <v>-1.4837294760505548E-2</v>
      </c>
      <c r="C108" s="4">
        <f>IFERROR(Merged_data[[#This Row],[XAUUSD_Close]]/Merged_data!C107-1, "")</f>
        <v>1.232477108824237E-2</v>
      </c>
      <c r="D108" s="4">
        <f>IFERROR(Merged_data[[#This Row],[AAPL_Close]]/Merged_data!B107-1,"")</f>
        <v>1.9412574575493391E-2</v>
      </c>
      <c r="E108" s="18">
        <f t="shared" si="5"/>
        <v>6.3024923797933008E-3</v>
      </c>
      <c r="F108" s="19">
        <f t="shared" si="6"/>
        <v>6302.4923797933006</v>
      </c>
      <c r="G108" t="b">
        <f t="shared" si="7"/>
        <v>0</v>
      </c>
      <c r="H108" t="b">
        <f t="shared" si="8"/>
        <v>0</v>
      </c>
      <c r="I108" t="b">
        <f t="shared" ca="1" si="9"/>
        <v>0</v>
      </c>
    </row>
    <row r="109" spans="1:9" x14ac:dyDescent="0.25">
      <c r="A109" s="1">
        <v>45748</v>
      </c>
      <c r="B109" s="4">
        <f>IFERROR(Merged_data[[#This Row],[BTCUSD_Close]]/Merged_data!D108-1,"")</f>
        <v>3.2204665344144567E-2</v>
      </c>
      <c r="C109" s="4">
        <f>IFERROR(Merged_data[[#This Row],[XAUUSD_Close]]/Merged_data!C108-1, "")</f>
        <v>-2.8543756153396327E-3</v>
      </c>
      <c r="D109" s="4">
        <f>IFERROR(Merged_data[[#This Row],[AAPL_Close]]/Merged_data!B108-1,"")</f>
        <v>4.7719803718542231E-3</v>
      </c>
      <c r="E109" s="18">
        <f t="shared" si="5"/>
        <v>9.9512434686637834E-3</v>
      </c>
      <c r="F109" s="19">
        <f t="shared" si="6"/>
        <v>9951.2434686637826</v>
      </c>
      <c r="G109" t="b">
        <f t="shared" si="7"/>
        <v>0</v>
      </c>
      <c r="H109" t="b">
        <f t="shared" si="8"/>
        <v>0</v>
      </c>
      <c r="I109" t="b">
        <f t="shared" ca="1" si="9"/>
        <v>0</v>
      </c>
    </row>
    <row r="110" spans="1:9" x14ac:dyDescent="0.25">
      <c r="A110" s="1">
        <v>45749</v>
      </c>
      <c r="B110" s="4">
        <f>IFERROR(Merged_data[[#This Row],[BTCUSD_Close]]/Merged_data!D109-1,"")</f>
        <v>-4.5106285059512974E-3</v>
      </c>
      <c r="C110" s="4">
        <f>IFERROR(Merged_data[[#This Row],[XAUUSD_Close]]/Merged_data!C109-1, "")</f>
        <v>6.8087825428018167E-3</v>
      </c>
      <c r="D110" s="4">
        <f>IFERROR(Merged_data[[#This Row],[AAPL_Close]]/Merged_data!B109-1,"")</f>
        <v>3.1363412339262542E-3</v>
      </c>
      <c r="E110" s="18">
        <f t="shared" si="5"/>
        <v>2.3112268355132137E-3</v>
      </c>
      <c r="F110" s="19">
        <f t="shared" si="6"/>
        <v>2311.2268355132137</v>
      </c>
      <c r="G110" t="b">
        <f t="shared" si="7"/>
        <v>0</v>
      </c>
      <c r="H110" t="b">
        <f t="shared" si="8"/>
        <v>0</v>
      </c>
      <c r="I110" t="b">
        <f t="shared" ca="1" si="9"/>
        <v>0</v>
      </c>
    </row>
    <row r="111" spans="1:9" x14ac:dyDescent="0.25">
      <c r="A111" s="1">
        <v>45750</v>
      </c>
      <c r="B111" s="4">
        <f>IFERROR(Merged_data[[#This Row],[BTCUSD_Close]]/Merged_data!D110-1,"")</f>
        <v>-2.4814723961109619E-2</v>
      </c>
      <c r="C111" s="4">
        <f>IFERROR(Merged_data[[#This Row],[XAUUSD_Close]]/Merged_data!C110-1, "")</f>
        <v>-6.643140869348918E-3</v>
      </c>
      <c r="D111" s="4">
        <f>IFERROR(Merged_data[[#This Row],[AAPL_Close]]/Merged_data!B110-1,"")</f>
        <v>-9.2456116843092517E-2</v>
      </c>
      <c r="E111" s="18">
        <f t="shared" si="5"/>
        <v>-3.7838508589000203E-2</v>
      </c>
      <c r="F111" s="19">
        <f t="shared" si="6"/>
        <v>37838.508589000201</v>
      </c>
      <c r="G111" t="b">
        <f t="shared" si="7"/>
        <v>1</v>
      </c>
      <c r="H111" t="b">
        <f t="shared" si="8"/>
        <v>1</v>
      </c>
      <c r="I111" t="b">
        <f t="shared" ca="1" si="9"/>
        <v>1</v>
      </c>
    </row>
    <row r="112" spans="1:9" x14ac:dyDescent="0.25">
      <c r="A112" s="1">
        <v>45751</v>
      </c>
      <c r="B112" s="4">
        <f>IFERROR(Merged_data[[#This Row],[BTCUSD_Close]]/Merged_data!D111-1,"")</f>
        <v>1.6063941331482257E-2</v>
      </c>
      <c r="C112" s="4">
        <f>IFERROR(Merged_data[[#This Row],[XAUUSD_Close]]/Merged_data!C111-1, "")</f>
        <v>-2.5154627921797457E-2</v>
      </c>
      <c r="D112" s="4">
        <f>IFERROR(Merged_data[[#This Row],[AAPL_Close]]/Merged_data!B111-1,"")</f>
        <v>-7.2887445248289828E-2</v>
      </c>
      <c r="E112" s="18">
        <f t="shared" si="5"/>
        <v>-2.7108902343761253E-2</v>
      </c>
      <c r="F112" s="19">
        <f t="shared" si="6"/>
        <v>27108.902343761252</v>
      </c>
      <c r="G112" t="b">
        <f t="shared" si="7"/>
        <v>0</v>
      </c>
      <c r="H112" t="b">
        <f t="shared" si="8"/>
        <v>0</v>
      </c>
      <c r="I112" t="b">
        <f t="shared" ca="1" si="9"/>
        <v>0</v>
      </c>
    </row>
    <row r="113" spans="1:9" x14ac:dyDescent="0.25">
      <c r="A113" s="1">
        <v>45754</v>
      </c>
      <c r="B113" s="4">
        <f>IFERROR(Merged_data[[#This Row],[BTCUSD_Close]]/Merged_data!D112-1,"")</f>
        <v>-5.7414844209358606E-2</v>
      </c>
      <c r="C113" s="4">
        <f>IFERROR(Merged_data[[#This Row],[XAUUSD_Close]]/Merged_data!C112-1, "")</f>
        <v>-1.7504367858489633E-2</v>
      </c>
      <c r="D113" s="4">
        <f>IFERROR(Merged_data[[#This Row],[AAPL_Close]]/Merged_data!B112-1,"")</f>
        <v>-3.673426053721196E-2</v>
      </c>
      <c r="E113" s="18">
        <f t="shared" si="5"/>
        <v>-3.5246478567367026E-2</v>
      </c>
      <c r="F113" s="19">
        <f t="shared" si="6"/>
        <v>35246.478567367027</v>
      </c>
      <c r="G113" t="b">
        <f t="shared" si="7"/>
        <v>1</v>
      </c>
      <c r="H113" t="b">
        <f t="shared" si="8"/>
        <v>1</v>
      </c>
      <c r="I113" t="b">
        <f t="shared" ca="1" si="9"/>
        <v>0</v>
      </c>
    </row>
    <row r="114" spans="1:9" x14ac:dyDescent="0.25">
      <c r="A114" s="1">
        <v>45755</v>
      </c>
      <c r="B114" s="4">
        <f>IFERROR(Merged_data[[#This Row],[BTCUSD_Close]]/Merged_data!D113-1,"")</f>
        <v>-2.7479770888262478E-2</v>
      </c>
      <c r="C114" s="4">
        <f>IFERROR(Merged_data[[#This Row],[XAUUSD_Close]]/Merged_data!C113-1, "")</f>
        <v>-1.340826317739463E-4</v>
      </c>
      <c r="D114" s="4">
        <f>IFERROR(Merged_data[[#This Row],[AAPL_Close]]/Merged_data!B113-1,"")</f>
        <v>-4.9818141739226385E-2</v>
      </c>
      <c r="E114" s="18">
        <f t="shared" si="5"/>
        <v>-2.3243006840956239E-2</v>
      </c>
      <c r="F114" s="19">
        <f t="shared" si="6"/>
        <v>23243.006840956237</v>
      </c>
      <c r="G114" t="b">
        <f t="shared" si="7"/>
        <v>0</v>
      </c>
      <c r="H114" t="b">
        <f t="shared" si="8"/>
        <v>0</v>
      </c>
      <c r="I114" t="b">
        <f t="shared" ca="1" si="9"/>
        <v>0</v>
      </c>
    </row>
    <row r="115" spans="1:9" x14ac:dyDescent="0.25">
      <c r="A115" s="1">
        <v>45756</v>
      </c>
      <c r="B115" s="4">
        <f>IFERROR(Merged_data[[#This Row],[BTCUSD_Close]]/Merged_data!D114-1,"")</f>
        <v>8.1296759399921426E-2</v>
      </c>
      <c r="C115" s="4">
        <f>IFERROR(Merged_data[[#This Row],[XAUUSD_Close]]/Merged_data!C114-1, "")</f>
        <v>3.3560354494968747E-2</v>
      </c>
      <c r="D115" s="4">
        <f>IFERROR(Merged_data[[#This Row],[AAPL_Close]]/Merged_data!B114-1,"")</f>
        <v>0.15328848161466202</v>
      </c>
      <c r="E115" s="18">
        <f t="shared" si="5"/>
        <v>8.3799714102362532E-2</v>
      </c>
      <c r="F115" s="19">
        <f t="shared" si="6"/>
        <v>83799.71410236253</v>
      </c>
      <c r="G115" t="b">
        <f t="shared" si="7"/>
        <v>1</v>
      </c>
      <c r="H115" t="b">
        <f t="shared" si="8"/>
        <v>1</v>
      </c>
      <c r="I115" t="b">
        <f t="shared" ca="1" si="9"/>
        <v>1</v>
      </c>
    </row>
    <row r="116" spans="1:9" x14ac:dyDescent="0.25">
      <c r="A116" s="1">
        <v>45757</v>
      </c>
      <c r="B116" s="4">
        <f>IFERROR(Merged_data[[#This Row],[BTCUSD_Close]]/Merged_data!D115-1,"")</f>
        <v>-4.3294851689165692E-2</v>
      </c>
      <c r="C116" s="4">
        <f>IFERROR(Merged_data[[#This Row],[XAUUSD_Close]]/Merged_data!C115-1, "")</f>
        <v>3.0057347856267125E-2</v>
      </c>
      <c r="D116" s="4">
        <f>IFERROR(Merged_data[[#This Row],[AAPL_Close]]/Merged_data!B115-1,"")</f>
        <v>-4.2393764143827006E-2</v>
      </c>
      <c r="E116" s="18">
        <f t="shared" si="5"/>
        <v>-1.368364560739096E-2</v>
      </c>
      <c r="F116" s="19">
        <f t="shared" si="6"/>
        <v>13683.645607390959</v>
      </c>
      <c r="G116" t="b">
        <f t="shared" si="7"/>
        <v>0</v>
      </c>
      <c r="H116" t="b">
        <f t="shared" si="8"/>
        <v>0</v>
      </c>
      <c r="I116" t="b">
        <f t="shared" ca="1" si="9"/>
        <v>0</v>
      </c>
    </row>
    <row r="117" spans="1:9" x14ac:dyDescent="0.25">
      <c r="A117" s="1">
        <v>45758</v>
      </c>
      <c r="B117" s="4">
        <f>IFERROR(Merged_data[[#This Row],[BTCUSD_Close]]/Merged_data!D116-1,"")</f>
        <v>5.2678283418452931E-2</v>
      </c>
      <c r="C117" s="4">
        <f>IFERROR(Merged_data[[#This Row],[XAUUSD_Close]]/Merged_data!C116-1, "")</f>
        <v>1.7437622122398633E-2</v>
      </c>
      <c r="D117" s="4">
        <f>IFERROR(Merged_data[[#This Row],[AAPL_Close]]/Merged_data!B116-1,"")</f>
        <v>4.0594475370234306E-2</v>
      </c>
      <c r="E117" s="18">
        <f t="shared" si="5"/>
        <v>3.495687648556562E-2</v>
      </c>
      <c r="F117" s="19">
        <f t="shared" si="6"/>
        <v>34956.876485565619</v>
      </c>
      <c r="G117" t="b">
        <f t="shared" si="7"/>
        <v>1</v>
      </c>
      <c r="H117" t="b">
        <f t="shared" si="8"/>
        <v>1</v>
      </c>
      <c r="I117" t="b">
        <f t="shared" ca="1" si="9"/>
        <v>0</v>
      </c>
    </row>
    <row r="118" spans="1:9" x14ac:dyDescent="0.25">
      <c r="A118" s="1">
        <v>45761</v>
      </c>
      <c r="B118" s="4">
        <f>IFERROR(Merged_data[[#This Row],[BTCUSD_Close]]/Merged_data!D117-1,"")</f>
        <v>1.0158663539578949E-2</v>
      </c>
      <c r="C118" s="4">
        <f>IFERROR(Merged_data[[#This Row],[XAUUSD_Close]]/Merged_data!C117-1, "")</f>
        <v>-6.2751858569226604E-3</v>
      </c>
      <c r="D118" s="4">
        <f>IFERROR(Merged_data[[#This Row],[AAPL_Close]]/Merged_data!B117-1,"")</f>
        <v>2.2053999495331933E-2</v>
      </c>
      <c r="E118" s="18">
        <f t="shared" si="5"/>
        <v>7.1537245677042007E-3</v>
      </c>
      <c r="F118" s="19">
        <f t="shared" si="6"/>
        <v>7153.724567704201</v>
      </c>
      <c r="G118" t="b">
        <f t="shared" si="7"/>
        <v>0</v>
      </c>
      <c r="H118" t="b">
        <f t="shared" si="8"/>
        <v>0</v>
      </c>
      <c r="I118" t="b">
        <f t="shared" ca="1" si="9"/>
        <v>0</v>
      </c>
    </row>
    <row r="119" spans="1:9" x14ac:dyDescent="0.25">
      <c r="A119" s="1">
        <v>45762</v>
      </c>
      <c r="B119" s="4">
        <f>IFERROR(Merged_data[[#This Row],[BTCUSD_Close]]/Merged_data!D118-1,"")</f>
        <v>-6.0126556131694375E-3</v>
      </c>
      <c r="C119" s="4">
        <f>IFERROR(Merged_data[[#This Row],[XAUUSD_Close]]/Merged_data!C118-1, "")</f>
        <v>6.0298283398818597E-3</v>
      </c>
      <c r="D119" s="4">
        <f>IFERROR(Merged_data[[#This Row],[AAPL_Close]]/Merged_data!B118-1,"")</f>
        <v>-1.8763578905788281E-3</v>
      </c>
      <c r="E119" s="18">
        <f t="shared" si="5"/>
        <v>4.5227284828264279E-5</v>
      </c>
      <c r="F119" s="19">
        <f t="shared" si="6"/>
        <v>45.227284828264281</v>
      </c>
      <c r="G119" t="b">
        <f t="shared" si="7"/>
        <v>0</v>
      </c>
      <c r="H119" t="b">
        <f t="shared" si="8"/>
        <v>0</v>
      </c>
      <c r="I119" t="b">
        <f t="shared" ca="1" si="9"/>
        <v>0</v>
      </c>
    </row>
    <row r="120" spans="1:9" x14ac:dyDescent="0.25">
      <c r="A120" s="1">
        <v>45763</v>
      </c>
      <c r="B120" s="4">
        <f>IFERROR(Merged_data[[#This Row],[BTCUSD_Close]]/Merged_data!D119-1,"")</f>
        <v>3.549379600745306E-3</v>
      </c>
      <c r="C120" s="4">
        <f>IFERROR(Merged_data[[#This Row],[XAUUSD_Close]]/Merged_data!C119-1, "")</f>
        <v>3.498072020222498E-2</v>
      </c>
      <c r="D120" s="4">
        <f>IFERROR(Merged_data[[#This Row],[AAPL_Close]]/Merged_data!B119-1,"")</f>
        <v>-3.893341248639548E-2</v>
      </c>
      <c r="E120" s="18">
        <f t="shared" si="5"/>
        <v>3.3770782151949404E-3</v>
      </c>
      <c r="F120" s="19">
        <f t="shared" si="6"/>
        <v>3377.0782151949402</v>
      </c>
      <c r="G120" t="b">
        <f t="shared" si="7"/>
        <v>0</v>
      </c>
      <c r="H120" t="b">
        <f t="shared" si="8"/>
        <v>0</v>
      </c>
      <c r="I120" t="b">
        <f t="shared" ca="1" si="9"/>
        <v>0</v>
      </c>
    </row>
    <row r="121" spans="1:9" x14ac:dyDescent="0.25">
      <c r="A121" s="1">
        <v>45764</v>
      </c>
      <c r="B121" s="4">
        <f>IFERROR(Merged_data[[#This Row],[BTCUSD_Close]]/Merged_data!D120-1,"")</f>
        <v>6.6180890489737632E-3</v>
      </c>
      <c r="C121" s="4">
        <f>IFERROR(Merged_data[[#This Row],[XAUUSD_Close]]/Merged_data!C120-1, "")</f>
        <v>-4.6933119556812342E-3</v>
      </c>
      <c r="D121" s="4">
        <f>IFERROR(Merged_data[[#This Row],[AAPL_Close]]/Merged_data!B120-1,"")</f>
        <v>1.3949657692901463E-2</v>
      </c>
      <c r="E121" s="18">
        <f t="shared" si="5"/>
        <v>4.292999240290073E-3</v>
      </c>
      <c r="F121" s="19">
        <f t="shared" si="6"/>
        <v>4292.9992402900734</v>
      </c>
      <c r="G121" t="b">
        <f t="shared" si="7"/>
        <v>0</v>
      </c>
      <c r="H121" t="b">
        <f t="shared" si="8"/>
        <v>0</v>
      </c>
      <c r="I121" t="b">
        <f t="shared" ca="1" si="9"/>
        <v>0</v>
      </c>
    </row>
    <row r="122" spans="1:9" x14ac:dyDescent="0.25">
      <c r="A122" s="1">
        <v>45768</v>
      </c>
      <c r="B122" s="4">
        <f>IFERROR(Merged_data[[#This Row],[BTCUSD_Close]]/Merged_data!D121-1,"")</f>
        <v>2.6029121865379201E-2</v>
      </c>
      <c r="C122" s="4">
        <f>IFERROR(Merged_data[[#This Row],[XAUUSD_Close]]/Merged_data!C121-1, "")</f>
        <v>2.9164218533283881E-2</v>
      </c>
      <c r="D122" s="4">
        <f>IFERROR(Merged_data[[#This Row],[AAPL_Close]]/Merged_data!B121-1,"")</f>
        <v>-1.9392831759569518E-2</v>
      </c>
      <c r="E122" s="18">
        <f t="shared" si="5"/>
        <v>1.3656574445056458E-2</v>
      </c>
      <c r="F122" s="19">
        <f t="shared" si="6"/>
        <v>13656.574445056458</v>
      </c>
      <c r="G122" t="b">
        <f t="shared" si="7"/>
        <v>0</v>
      </c>
      <c r="H122" t="b">
        <f t="shared" si="8"/>
        <v>0</v>
      </c>
      <c r="I122" t="b">
        <f t="shared" ca="1" si="9"/>
        <v>0</v>
      </c>
    </row>
    <row r="123" spans="1:9" x14ac:dyDescent="0.25">
      <c r="A123" s="1">
        <v>45769</v>
      </c>
      <c r="B123" s="4">
        <f>IFERROR(Merged_data[[#This Row],[BTCUSD_Close]]/Merged_data!D122-1,"")</f>
        <v>6.5599351086792268E-2</v>
      </c>
      <c r="C123" s="4">
        <f>IFERROR(Merged_data[[#This Row],[XAUUSD_Close]]/Merged_data!C122-1, "")</f>
        <v>-1.2628471223468107E-2</v>
      </c>
      <c r="D123" s="4">
        <f>IFERROR(Merged_data[[#This Row],[AAPL_Close]]/Merged_data!B122-1,"")</f>
        <v>3.406502381445442E-2</v>
      </c>
      <c r="E123" s="18">
        <f t="shared" si="5"/>
        <v>2.4847923980986765E-2</v>
      </c>
      <c r="F123" s="19">
        <f t="shared" si="6"/>
        <v>24847.923980986765</v>
      </c>
      <c r="G123" t="b">
        <f t="shared" si="7"/>
        <v>0</v>
      </c>
      <c r="H123" t="b">
        <f t="shared" si="8"/>
        <v>0</v>
      </c>
      <c r="I123" t="b">
        <f t="shared" ca="1" si="9"/>
        <v>0</v>
      </c>
    </row>
    <row r="124" spans="1:9" x14ac:dyDescent="0.25">
      <c r="A124" s="1">
        <v>45770</v>
      </c>
      <c r="B124" s="4">
        <f>IFERROR(Merged_data[[#This Row],[BTCUSD_Close]]/Merged_data!D123-1,"")</f>
        <v>5.4144599194496656E-3</v>
      </c>
      <c r="C124" s="4">
        <f>IFERROR(Merged_data[[#This Row],[XAUUSD_Close]]/Merged_data!C123-1, "")</f>
        <v>-2.7455074589785688E-2</v>
      </c>
      <c r="D124" s="4">
        <f>IFERROR(Merged_data[[#This Row],[AAPL_Close]]/Merged_data!B123-1,"")</f>
        <v>2.4331631120456443E-2</v>
      </c>
      <c r="E124" s="18">
        <f t="shared" si="5"/>
        <v>-2.0582025239424444E-3</v>
      </c>
      <c r="F124" s="19">
        <f t="shared" si="6"/>
        <v>2058.2025239424443</v>
      </c>
      <c r="G124" t="b">
        <f t="shared" si="7"/>
        <v>0</v>
      </c>
      <c r="H124" t="b">
        <f t="shared" si="8"/>
        <v>0</v>
      </c>
      <c r="I124" t="b">
        <f t="shared" ca="1" si="9"/>
        <v>0</v>
      </c>
    </row>
    <row r="125" spans="1:9" x14ac:dyDescent="0.25">
      <c r="A125" s="1">
        <v>45771</v>
      </c>
      <c r="B125" s="4">
        <f>IFERROR(Merged_data[[#This Row],[BTCUSD_Close]]/Merged_data!D124-1,"")</f>
        <v>-1.4094176474488407E-3</v>
      </c>
      <c r="C125" s="4">
        <f>IFERROR(Merged_data[[#This Row],[XAUUSD_Close]]/Merged_data!C124-1, "")</f>
        <v>1.8631037639166292E-2</v>
      </c>
      <c r="D125" s="4">
        <f>IFERROR(Merged_data[[#This Row],[AAPL_Close]]/Merged_data!B124-1,"")</f>
        <v>1.842619745845564E-2</v>
      </c>
      <c r="E125" s="18">
        <f t="shared" si="5"/>
        <v>1.2557448998968556E-2</v>
      </c>
      <c r="F125" s="19">
        <f t="shared" si="6"/>
        <v>12557.448998968555</v>
      </c>
      <c r="G125" t="b">
        <f t="shared" si="7"/>
        <v>0</v>
      </c>
      <c r="H125" t="b">
        <f t="shared" si="8"/>
        <v>0</v>
      </c>
      <c r="I125" t="b">
        <f t="shared" ca="1" si="9"/>
        <v>0</v>
      </c>
    </row>
    <row r="126" spans="1:9" x14ac:dyDescent="0.25">
      <c r="A126" s="1">
        <v>45772</v>
      </c>
      <c r="B126" s="4">
        <f>IFERROR(Merged_data[[#This Row],[BTCUSD_Close]]/Merged_data!D125-1,"")</f>
        <v>2.0896960870403269E-2</v>
      </c>
      <c r="C126" s="4">
        <f>IFERROR(Merged_data[[#This Row],[XAUUSD_Close]]/Merged_data!C125-1, "")</f>
        <v>-1.331802800039994E-2</v>
      </c>
      <c r="D126" s="4">
        <f>IFERROR(Merged_data[[#This Row],[AAPL_Close]]/Merged_data!B125-1,"")</f>
        <v>4.367231367279345E-3</v>
      </c>
      <c r="E126" s="18">
        <f t="shared" si="5"/>
        <v>2.2520464711448078E-3</v>
      </c>
      <c r="F126" s="19">
        <f t="shared" si="6"/>
        <v>2252.0464711448076</v>
      </c>
      <c r="G126" t="b">
        <f t="shared" si="7"/>
        <v>0</v>
      </c>
      <c r="H126" t="b">
        <f t="shared" si="8"/>
        <v>0</v>
      </c>
      <c r="I126" t="b">
        <f t="shared" ca="1" si="9"/>
        <v>0</v>
      </c>
    </row>
    <row r="127" spans="1:9" x14ac:dyDescent="0.25">
      <c r="A127" s="1">
        <v>45775</v>
      </c>
      <c r="B127" s="4">
        <f>IFERROR(Merged_data[[#This Row],[BTCUSD_Close]]/Merged_data!D126-1,"")</f>
        <v>-8.3108333490674591E-3</v>
      </c>
      <c r="C127" s="4">
        <f>IFERROR(Merged_data[[#This Row],[XAUUSD_Close]]/Merged_data!C126-1, "")</f>
        <v>1.1770098805289564E-2</v>
      </c>
      <c r="D127" s="4">
        <f>IFERROR(Merged_data[[#This Row],[AAPL_Close]]/Merged_data!B126-1,"")</f>
        <v>4.1093272171253137E-3</v>
      </c>
      <c r="E127" s="18">
        <f t="shared" si="5"/>
        <v>3.447587682533183E-3</v>
      </c>
      <c r="F127" s="19">
        <f t="shared" si="6"/>
        <v>3447.5876825331829</v>
      </c>
      <c r="G127" t="b">
        <f t="shared" si="7"/>
        <v>0</v>
      </c>
      <c r="H127" t="b">
        <f t="shared" si="8"/>
        <v>0</v>
      </c>
      <c r="I127" t="b">
        <f t="shared" ca="1" si="9"/>
        <v>0</v>
      </c>
    </row>
    <row r="128" spans="1:9" x14ac:dyDescent="0.25">
      <c r="A128" s="1">
        <v>45776</v>
      </c>
      <c r="B128" s="4">
        <f>IFERROR(Merged_data[[#This Row],[BTCUSD_Close]]/Merged_data!D127-1,"")</f>
        <v>1.9610518599846305E-3</v>
      </c>
      <c r="C128" s="4">
        <f>IFERROR(Merged_data[[#This Row],[XAUUSD_Close]]/Merged_data!C127-1, "")</f>
        <v>-7.9667811542563083E-3</v>
      </c>
      <c r="D128" s="4">
        <f>IFERROR(Merged_data[[#This Row],[AAPL_Close]]/Merged_data!B127-1,"")</f>
        <v>5.0918435328828338E-3</v>
      </c>
      <c r="E128" s="18">
        <f t="shared" si="5"/>
        <v>-1.0708438438422844E-3</v>
      </c>
      <c r="F128" s="19">
        <f t="shared" si="6"/>
        <v>1070.8438438422843</v>
      </c>
      <c r="G128" t="b">
        <f t="shared" si="7"/>
        <v>0</v>
      </c>
      <c r="H128" t="b">
        <f t="shared" si="8"/>
        <v>0</v>
      </c>
      <c r="I128" t="b">
        <f t="shared" ca="1" si="9"/>
        <v>0</v>
      </c>
    </row>
    <row r="129" spans="1:9" x14ac:dyDescent="0.25">
      <c r="A129" s="1">
        <v>45777</v>
      </c>
      <c r="B129" s="4">
        <f>IFERROR(Merged_data[[#This Row],[BTCUSD_Close]]/Merged_data!D128-1,"")</f>
        <v>-3.4457094899525975E-3</v>
      </c>
      <c r="C129" s="4">
        <f>IFERROR(Merged_data[[#This Row],[XAUUSD_Close]]/Merged_data!C128-1, "")</f>
        <v>-8.6954686795819303E-3</v>
      </c>
      <c r="D129" s="4">
        <f>IFERROR(Merged_data[[#This Row],[AAPL_Close]]/Merged_data!B128-1,"")</f>
        <v>6.1076653567539996E-3</v>
      </c>
      <c r="E129" s="18">
        <f t="shared" si="5"/>
        <v>-2.6796007117923515E-3</v>
      </c>
      <c r="F129" s="19">
        <f t="shared" si="6"/>
        <v>2679.6007117923514</v>
      </c>
      <c r="G129" t="b">
        <f t="shared" si="7"/>
        <v>0</v>
      </c>
      <c r="H129" t="b">
        <f t="shared" si="8"/>
        <v>0</v>
      </c>
      <c r="I129" t="b">
        <f t="shared" ca="1" si="9"/>
        <v>0</v>
      </c>
    </row>
    <row r="130" spans="1:9" x14ac:dyDescent="0.25">
      <c r="A130" s="1">
        <v>45778</v>
      </c>
      <c r="B130" s="4">
        <f>IFERROR(Merged_data[[#This Row],[BTCUSD_Close]]/Merged_data!D129-1,"")</f>
        <v>2.1770104057093009E-2</v>
      </c>
      <c r="C130" s="4">
        <f>IFERROR(Merged_data[[#This Row],[XAUUSD_Close]]/Merged_data!C129-1, "")</f>
        <v>-1.5037708307991782E-2</v>
      </c>
      <c r="D130" s="4">
        <f>IFERROR(Merged_data[[#This Row],[AAPL_Close]]/Merged_data!B129-1,"")</f>
        <v>3.8588235294116924E-3</v>
      </c>
      <c r="E130" s="18">
        <f t="shared" si="5"/>
        <v>1.6735949527546972E-3</v>
      </c>
      <c r="F130" s="19">
        <f t="shared" si="6"/>
        <v>1673.5949527546973</v>
      </c>
      <c r="G130" t="b">
        <f t="shared" si="7"/>
        <v>0</v>
      </c>
      <c r="H130" t="b">
        <f t="shared" si="8"/>
        <v>0</v>
      </c>
      <c r="I130" t="b">
        <f t="shared" ca="1" si="9"/>
        <v>0</v>
      </c>
    </row>
    <row r="131" spans="1:9" x14ac:dyDescent="0.25">
      <c r="A131" s="1">
        <v>45779</v>
      </c>
      <c r="B131" s="4">
        <f>IFERROR(Merged_data[[#This Row],[BTCUSD_Close]]/Merged_data!D130-1,"")</f>
        <v>4.9826240575936431E-3</v>
      </c>
      <c r="C131" s="4">
        <f>IFERROR(Merged_data[[#This Row],[XAUUSD_Close]]/Merged_data!C130-1, "")</f>
        <v>-1.6301579215485251E-3</v>
      </c>
      <c r="D131" s="4">
        <f>IFERROR(Merged_data[[#This Row],[AAPL_Close]]/Merged_data!B130-1,"")</f>
        <v>-3.7361710106881718E-2</v>
      </c>
      <c r="E131" s="18">
        <f t="shared" si="5"/>
        <v>-1.0365788983405833E-2</v>
      </c>
      <c r="F131" s="19">
        <f t="shared" si="6"/>
        <v>10365.788983405833</v>
      </c>
      <c r="G131" t="b">
        <f t="shared" si="7"/>
        <v>0</v>
      </c>
      <c r="H131" t="b">
        <f t="shared" si="8"/>
        <v>0</v>
      </c>
      <c r="I131" t="b">
        <f t="shared" ca="1" si="9"/>
        <v>0</v>
      </c>
    </row>
    <row r="132" spans="1:9" x14ac:dyDescent="0.25">
      <c r="A132" s="1">
        <v>45782</v>
      </c>
      <c r="B132" s="4">
        <f>IFERROR(Merged_data[[#This Row],[BTCUSD_Close]]/Merged_data!D131-1,"")</f>
        <v>-2.3438193113380246E-2</v>
      </c>
      <c r="C132" s="4">
        <f>IFERROR(Merged_data[[#This Row],[XAUUSD_Close]]/Merged_data!C131-1, "")</f>
        <v>3.1000380372765202E-2</v>
      </c>
      <c r="D132" s="4">
        <f>IFERROR(Merged_data[[#This Row],[AAPL_Close]]/Merged_data!B131-1,"")</f>
        <v>-3.1458485512539602E-2</v>
      </c>
      <c r="E132" s="18">
        <f t="shared" ref="E132:E195" si="10">SUMPRODUCT(B132:D132,$K$2:$M$2)</f>
        <v>-4.0688514386698722E-3</v>
      </c>
      <c r="F132" s="19">
        <f t="shared" ref="F132:F195" si="11">ABS(E132*$K$5)</f>
        <v>4068.8514386698721</v>
      </c>
      <c r="G132" t="b">
        <f t="shared" ref="G132:G195" si="12">F132&gt;$K$8</f>
        <v>0</v>
      </c>
      <c r="H132" t="b">
        <f t="shared" ref="H132:H195" si="13">F132&gt;$K$9</f>
        <v>0</v>
      </c>
      <c r="I132" t="b">
        <f t="shared" ref="I132:I195" ca="1" si="14">F132&gt;$K$10</f>
        <v>0</v>
      </c>
    </row>
    <row r="133" spans="1:9" x14ac:dyDescent="0.25">
      <c r="A133" s="1">
        <v>45783</v>
      </c>
      <c r="B133" s="4">
        <f>IFERROR(Merged_data[[#This Row],[BTCUSD_Close]]/Merged_data!D132-1,"")</f>
        <v>1.700755727109815E-4</v>
      </c>
      <c r="C133" s="4">
        <f>IFERROR(Merged_data[[#This Row],[XAUUSD_Close]]/Merged_data!C132-1, "")</f>
        <v>2.9349878446211175E-2</v>
      </c>
      <c r="D133" s="4">
        <f>IFERROR(Merged_data[[#This Row],[AAPL_Close]]/Merged_data!B132-1,"")</f>
        <v>-1.9106038513750923E-3</v>
      </c>
      <c r="E133" s="18">
        <f t="shared" si="10"/>
        <v>1.1217792894885238E-2</v>
      </c>
      <c r="F133" s="19">
        <f t="shared" si="11"/>
        <v>11217.792894885239</v>
      </c>
      <c r="G133" t="b">
        <f t="shared" si="12"/>
        <v>0</v>
      </c>
      <c r="H133" t="b">
        <f t="shared" si="13"/>
        <v>0</v>
      </c>
      <c r="I133" t="b">
        <f t="shared" ca="1" si="14"/>
        <v>0</v>
      </c>
    </row>
    <row r="134" spans="1:9" x14ac:dyDescent="0.25">
      <c r="A134" s="1">
        <v>45784</v>
      </c>
      <c r="B134" s="4">
        <f>IFERROR(Merged_data[[#This Row],[BTCUSD_Close]]/Merged_data!D133-1,"")</f>
        <v>2.5785832050942314E-2</v>
      </c>
      <c r="C134" s="4">
        <f>IFERROR(Merged_data[[#This Row],[XAUUSD_Close]]/Merged_data!C133-1, "")</f>
        <v>-1.9605072025619341E-2</v>
      </c>
      <c r="D134" s="4">
        <f>IFERROR(Merged_data[[#This Row],[AAPL_Close]]/Merged_data!B133-1,"")</f>
        <v>-1.1384816885799176E-2</v>
      </c>
      <c r="E134" s="18">
        <f t="shared" si="10"/>
        <v>-3.5217242607047949E-3</v>
      </c>
      <c r="F134" s="19">
        <f t="shared" si="11"/>
        <v>3521.7242607047951</v>
      </c>
      <c r="G134" t="b">
        <f t="shared" si="12"/>
        <v>0</v>
      </c>
      <c r="H134" t="b">
        <f t="shared" si="13"/>
        <v>0</v>
      </c>
      <c r="I134" t="b">
        <f t="shared" ca="1" si="14"/>
        <v>0</v>
      </c>
    </row>
    <row r="135" spans="1:9" x14ac:dyDescent="0.25">
      <c r="A135" s="1">
        <v>45785</v>
      </c>
      <c r="B135" s="4">
        <f>IFERROR(Merged_data[[#This Row],[BTCUSD_Close]]/Merged_data!D134-1,"")</f>
        <v>5.8243660247546014E-2</v>
      </c>
      <c r="C135" s="4">
        <f>IFERROR(Merged_data[[#This Row],[XAUUSD_Close]]/Merged_data!C134-1, "")</f>
        <v>-1.752868566808885E-2</v>
      </c>
      <c r="D135" s="4">
        <f>IFERROR(Merged_data[[#This Row],[AAPL_Close]]/Merged_data!B134-1,"")</f>
        <v>6.3184713375796786E-3</v>
      </c>
      <c r="E135" s="18">
        <f t="shared" si="10"/>
        <v>1.2357165208302167E-2</v>
      </c>
      <c r="F135" s="19">
        <f t="shared" si="11"/>
        <v>12357.165208302167</v>
      </c>
      <c r="G135" t="b">
        <f t="shared" si="12"/>
        <v>0</v>
      </c>
      <c r="H135" t="b">
        <f t="shared" si="13"/>
        <v>0</v>
      </c>
      <c r="I135" t="b">
        <f t="shared" ca="1" si="14"/>
        <v>0</v>
      </c>
    </row>
    <row r="136" spans="1:9" x14ac:dyDescent="0.25">
      <c r="A136" s="1">
        <v>45786</v>
      </c>
      <c r="B136" s="4">
        <f>IFERROR(Merged_data[[#This Row],[BTCUSD_Close]]/Merged_data!D135-1,"")</f>
        <v>3.9502617291637954E-3</v>
      </c>
      <c r="C136" s="4">
        <f>IFERROR(Merged_data[[#This Row],[XAUUSD_Close]]/Merged_data!C135-1, "")</f>
        <v>7.0896775384130528E-3</v>
      </c>
      <c r="D136" s="4">
        <f>IFERROR(Merged_data[[#This Row],[AAPL_Close]]/Merged_data!B135-1,"")</f>
        <v>5.2660894222491539E-3</v>
      </c>
      <c r="E136" s="18">
        <f t="shared" si="10"/>
        <v>5.6007763607891061E-3</v>
      </c>
      <c r="F136" s="19">
        <f t="shared" si="11"/>
        <v>5600.7763607891056</v>
      </c>
      <c r="G136" t="b">
        <f t="shared" si="12"/>
        <v>0</v>
      </c>
      <c r="H136" t="b">
        <f t="shared" si="13"/>
        <v>0</v>
      </c>
      <c r="I136" t="b">
        <f t="shared" ca="1" si="14"/>
        <v>0</v>
      </c>
    </row>
    <row r="137" spans="1:9" x14ac:dyDescent="0.25">
      <c r="A137" s="1">
        <v>45789</v>
      </c>
      <c r="B137" s="4">
        <f>IFERROR(Merged_data[[#This Row],[BTCUSD_Close]]/Merged_data!D136-1,"")</f>
        <v>-6.8033803690494832E-3</v>
      </c>
      <c r="C137" s="4">
        <f>IFERROR(Merged_data[[#This Row],[XAUUSD_Close]]/Merged_data!C136-1, "")</f>
        <v>-2.7945790633368883E-2</v>
      </c>
      <c r="D137" s="4">
        <f>IFERROR(Merged_data[[#This Row],[AAPL_Close]]/Merged_data!B136-1,"")</f>
        <v>6.1753891099581848E-2</v>
      </c>
      <c r="E137" s="18">
        <f t="shared" si="10"/>
        <v>5.3068369658121565E-3</v>
      </c>
      <c r="F137" s="19">
        <f t="shared" si="11"/>
        <v>5306.8369658121564</v>
      </c>
      <c r="G137" t="b">
        <f t="shared" si="12"/>
        <v>0</v>
      </c>
      <c r="H137" t="b">
        <f t="shared" si="13"/>
        <v>0</v>
      </c>
      <c r="I137" t="b">
        <f t="shared" ca="1" si="14"/>
        <v>0</v>
      </c>
    </row>
    <row r="138" spans="1:9" x14ac:dyDescent="0.25">
      <c r="A138" s="1">
        <v>45790</v>
      </c>
      <c r="B138" s="4">
        <f>IFERROR(Merged_data[[#This Row],[BTCUSD_Close]]/Merged_data!D137-1,"")</f>
        <v>1.8149528697722461E-2</v>
      </c>
      <c r="C138" s="4">
        <f>IFERROR(Merged_data[[#This Row],[XAUUSD_Close]]/Merged_data!C137-1, "")</f>
        <v>4.4222422406026141E-3</v>
      </c>
      <c r="D138" s="4">
        <f>IFERROR(Merged_data[[#This Row],[AAPL_Close]]/Merged_data!B137-1,"")</f>
        <v>1.0152284263959421E-2</v>
      </c>
      <c r="E138" s="18">
        <f t="shared" si="10"/>
        <v>1.025944078474561E-2</v>
      </c>
      <c r="F138" s="19">
        <f t="shared" si="11"/>
        <v>10259.44078474561</v>
      </c>
      <c r="G138" t="b">
        <f t="shared" si="12"/>
        <v>0</v>
      </c>
      <c r="H138" t="b">
        <f t="shared" si="13"/>
        <v>0</v>
      </c>
      <c r="I138" t="b">
        <f t="shared" ca="1" si="14"/>
        <v>0</v>
      </c>
    </row>
    <row r="139" spans="1:9" x14ac:dyDescent="0.25">
      <c r="A139" s="1">
        <v>45791</v>
      </c>
      <c r="B139" s="4">
        <f>IFERROR(Merged_data[[#This Row],[BTCUSD_Close]]/Merged_data!D138-1,"")</f>
        <v>-6.9578884821068776E-3</v>
      </c>
      <c r="C139" s="4">
        <f>IFERROR(Merged_data[[#This Row],[XAUUSD_Close]]/Merged_data!C138-1, "")</f>
        <v>-2.2366143882346479E-2</v>
      </c>
      <c r="D139" s="4">
        <f>IFERROR(Merged_data[[#This Row],[AAPL_Close]]/Merged_data!B138-1,"")</f>
        <v>-2.8178274550321181E-3</v>
      </c>
      <c r="E139" s="18">
        <f t="shared" si="10"/>
        <v>-1.1879172334080292E-2</v>
      </c>
      <c r="F139" s="19">
        <f t="shared" si="11"/>
        <v>11879.172334080291</v>
      </c>
      <c r="G139" t="b">
        <f t="shared" si="12"/>
        <v>0</v>
      </c>
      <c r="H139" t="b">
        <f t="shared" si="13"/>
        <v>0</v>
      </c>
      <c r="I139" t="b">
        <f t="shared" ca="1" si="14"/>
        <v>0</v>
      </c>
    </row>
    <row r="140" spans="1:9" x14ac:dyDescent="0.25">
      <c r="A140" s="1">
        <v>45792</v>
      </c>
      <c r="B140" s="4">
        <f>IFERROR(Merged_data[[#This Row],[BTCUSD_Close]]/Merged_data!D139-1,"")</f>
        <v>-3.1655342804199904E-3</v>
      </c>
      <c r="C140" s="4">
        <f>IFERROR(Merged_data[[#This Row],[XAUUSD_Close]]/Merged_data!C139-1, "")</f>
        <v>1.9606423857524424E-2</v>
      </c>
      <c r="D140" s="4">
        <f>IFERROR(Merged_data[[#This Row],[AAPL_Close]]/Merged_data!B139-1,"")</f>
        <v>-4.1444920642397243E-3</v>
      </c>
      <c r="E140" s="18">
        <f t="shared" si="10"/>
        <v>5.6495616396118557E-3</v>
      </c>
      <c r="F140" s="19">
        <f t="shared" si="11"/>
        <v>5649.5616396118558</v>
      </c>
      <c r="G140" t="b">
        <f t="shared" si="12"/>
        <v>0</v>
      </c>
      <c r="H140" t="b">
        <f t="shared" si="13"/>
        <v>0</v>
      </c>
      <c r="I140" t="b">
        <f t="shared" ca="1" si="14"/>
        <v>0</v>
      </c>
    </row>
    <row r="141" spans="1:9" x14ac:dyDescent="0.25">
      <c r="A141" s="1">
        <v>45793</v>
      </c>
      <c r="B141" s="4">
        <f>IFERROR(Merged_data[[#This Row],[BTCUSD_Close]]/Merged_data!D140-1,"")</f>
        <v>6.1575400821005655E-3</v>
      </c>
      <c r="C141" s="4">
        <f>IFERROR(Merged_data[[#This Row],[XAUUSD_Close]]/Merged_data!C140-1, "")</f>
        <v>-1.4621137528820882E-2</v>
      </c>
      <c r="D141" s="4">
        <f>IFERROR(Merged_data[[#This Row],[AAPL_Close]]/Merged_data!B140-1,"")</f>
        <v>-8.9855757862378205E-4</v>
      </c>
      <c r="E141" s="18">
        <f t="shared" si="10"/>
        <v>-4.2707602604853184E-3</v>
      </c>
      <c r="F141" s="19">
        <f t="shared" si="11"/>
        <v>4270.7602604853182</v>
      </c>
      <c r="G141" t="b">
        <f t="shared" si="12"/>
        <v>0</v>
      </c>
      <c r="H141" t="b">
        <f t="shared" si="13"/>
        <v>0</v>
      </c>
      <c r="I141" t="b">
        <f t="shared" ca="1" si="14"/>
        <v>0</v>
      </c>
    </row>
    <row r="142" spans="1:9" x14ac:dyDescent="0.25">
      <c r="A142" s="1">
        <v>45796</v>
      </c>
      <c r="B142" s="4">
        <f>IFERROR(Merged_data[[#This Row],[BTCUSD_Close]]/Merged_data!D141-1,"")</f>
        <v>1.4914745390862461E-2</v>
      </c>
      <c r="C142" s="4">
        <f>IFERROR(Merged_data[[#This Row],[XAUUSD_Close]]/Merged_data!C141-1, "")</f>
        <v>1.168221371606859E-2</v>
      </c>
      <c r="D142" s="4">
        <f>IFERROR(Merged_data[[#This Row],[AAPL_Close]]/Merged_data!B141-1,"")</f>
        <v>-1.1739089273880454E-2</v>
      </c>
      <c r="E142" s="18">
        <f t="shared" si="10"/>
        <v>5.6255823215220369E-3</v>
      </c>
      <c r="F142" s="19">
        <f t="shared" si="11"/>
        <v>5625.5823215220371</v>
      </c>
      <c r="G142" t="b">
        <f t="shared" si="12"/>
        <v>0</v>
      </c>
      <c r="H142" t="b">
        <f t="shared" si="13"/>
        <v>0</v>
      </c>
      <c r="I142" t="b">
        <f t="shared" ca="1" si="14"/>
        <v>0</v>
      </c>
    </row>
    <row r="143" spans="1:9" x14ac:dyDescent="0.25">
      <c r="A143" s="1">
        <v>45797</v>
      </c>
      <c r="B143" s="4">
        <f>IFERROR(Merged_data[[#This Row],[BTCUSD_Close]]/Merged_data!D142-1,"")</f>
        <v>1.0855755920890386E-2</v>
      </c>
      <c r="C143" s="4">
        <f>IFERROR(Merged_data[[#This Row],[XAUUSD_Close]]/Merged_data!C142-1, "")</f>
        <v>1.864847333621289E-2</v>
      </c>
      <c r="D143" s="4">
        <f>IFERROR(Merged_data[[#This Row],[AAPL_Close]]/Merged_data!B142-1,"")</f>
        <v>-9.196283168885877E-3</v>
      </c>
      <c r="E143" s="18">
        <f t="shared" si="10"/>
        <v>7.9572311600865087E-3</v>
      </c>
      <c r="F143" s="19">
        <f t="shared" si="11"/>
        <v>7957.2311600865087</v>
      </c>
      <c r="G143" t="b">
        <f t="shared" si="12"/>
        <v>0</v>
      </c>
      <c r="H143" t="b">
        <f t="shared" si="13"/>
        <v>0</v>
      </c>
      <c r="I143" t="b">
        <f t="shared" ca="1" si="14"/>
        <v>0</v>
      </c>
    </row>
    <row r="144" spans="1:9" x14ac:dyDescent="0.25">
      <c r="A144" s="1">
        <v>45798</v>
      </c>
      <c r="B144" s="4">
        <f>IFERROR(Merged_data[[#This Row],[BTCUSD_Close]]/Merged_data!D143-1,"")</f>
        <v>1.7229574466089526E-2</v>
      </c>
      <c r="C144" s="4">
        <f>IFERROR(Merged_data[[#This Row],[XAUUSD_Close]]/Merged_data!C143-1, "")</f>
        <v>7.7340778149443956E-3</v>
      </c>
      <c r="D144" s="4">
        <f>IFERROR(Merged_data[[#This Row],[AAPL_Close]]/Merged_data!B143-1,"")</f>
        <v>-2.3059073769699401E-2</v>
      </c>
      <c r="E144" s="18">
        <f t="shared" si="10"/>
        <v>1.3447813348947965E-3</v>
      </c>
      <c r="F144" s="19">
        <f t="shared" si="11"/>
        <v>1344.7813348947966</v>
      </c>
      <c r="G144" t="b">
        <f t="shared" si="12"/>
        <v>0</v>
      </c>
      <c r="H144" t="b">
        <f t="shared" si="13"/>
        <v>0</v>
      </c>
      <c r="I144" t="b">
        <f t="shared" ca="1" si="14"/>
        <v>0</v>
      </c>
    </row>
    <row r="145" spans="1:9" x14ac:dyDescent="0.25">
      <c r="A145" s="1">
        <v>45799</v>
      </c>
      <c r="B145" s="4">
        <f>IFERROR(Merged_data[[#This Row],[BTCUSD_Close]]/Merged_data!D144-1,"")</f>
        <v>2.2239433502987405E-2</v>
      </c>
      <c r="C145" s="4">
        <f>IFERROR(Merged_data[[#This Row],[XAUUSD_Close]]/Merged_data!C144-1, "")</f>
        <v>-6.2390097212126072E-3</v>
      </c>
      <c r="D145" s="4">
        <f>IFERROR(Merged_data[[#This Row],[AAPL_Close]]/Merged_data!B144-1,"")</f>
        <v>-3.6122519669453679E-3</v>
      </c>
      <c r="E145" s="18">
        <f t="shared" si="10"/>
        <v>3.0925505723275676E-3</v>
      </c>
      <c r="F145" s="19">
        <f t="shared" si="11"/>
        <v>3092.5505723275678</v>
      </c>
      <c r="G145" t="b">
        <f t="shared" si="12"/>
        <v>0</v>
      </c>
      <c r="H145" t="b">
        <f t="shared" si="13"/>
        <v>0</v>
      </c>
      <c r="I145" t="b">
        <f t="shared" ca="1" si="14"/>
        <v>0</v>
      </c>
    </row>
    <row r="146" spans="1:9" x14ac:dyDescent="0.25">
      <c r="A146" s="1">
        <v>45800</v>
      </c>
      <c r="B146" s="4">
        <f>IFERROR(Merged_data[[#This Row],[BTCUSD_Close]]/Merged_data!D145-1,"")</f>
        <v>-1.9590864812209063E-2</v>
      </c>
      <c r="C146" s="4">
        <f>IFERROR(Merged_data[[#This Row],[XAUUSD_Close]]/Merged_data!C145-1, "")</f>
        <v>2.0081979030243557E-2</v>
      </c>
      <c r="D146" s="4">
        <f>IFERROR(Merged_data[[#This Row],[AAPL_Close]]/Merged_data!B145-1,"")</f>
        <v>-3.0244338498212175E-2</v>
      </c>
      <c r="E146" s="18">
        <f t="shared" si="10"/>
        <v>-6.9177693810289469E-3</v>
      </c>
      <c r="F146" s="19">
        <f t="shared" si="11"/>
        <v>6917.7693810289466</v>
      </c>
      <c r="G146" t="b">
        <f t="shared" si="12"/>
        <v>0</v>
      </c>
      <c r="H146" t="b">
        <f t="shared" si="13"/>
        <v>0</v>
      </c>
      <c r="I146" t="b">
        <f t="shared" ca="1" si="14"/>
        <v>0</v>
      </c>
    </row>
    <row r="147" spans="1:9" x14ac:dyDescent="0.25">
      <c r="A147" s="1">
        <v>45804</v>
      </c>
      <c r="B147" s="4">
        <f>IFERROR(Merged_data[[#This Row],[BTCUSD_Close]]/Merged_data!D146-1,"")</f>
        <v>1.6099948480163828E-3</v>
      </c>
      <c r="C147" s="4">
        <f>IFERROR(Merged_data[[#This Row],[XAUUSD_Close]]/Merged_data!C146-1, "")</f>
        <v>-1.7913303242276579E-2</v>
      </c>
      <c r="D147" s="4">
        <f>IFERROR(Merged_data[[#This Row],[AAPL_Close]]/Merged_data!B146-1,"")</f>
        <v>2.5298304911148595E-2</v>
      </c>
      <c r="E147" s="18">
        <f t="shared" si="10"/>
        <v>9.0716863083886105E-4</v>
      </c>
      <c r="F147" s="19">
        <f t="shared" si="11"/>
        <v>907.16863083886108</v>
      </c>
      <c r="G147" t="b">
        <f t="shared" si="12"/>
        <v>0</v>
      </c>
      <c r="H147" t="b">
        <f t="shared" si="13"/>
        <v>0</v>
      </c>
      <c r="I147" t="b">
        <f t="shared" ca="1" si="14"/>
        <v>0</v>
      </c>
    </row>
    <row r="148" spans="1:9" x14ac:dyDescent="0.25">
      <c r="A148" s="1">
        <v>45805</v>
      </c>
      <c r="B148" s="4">
        <f>IFERROR(Merged_data[[#This Row],[BTCUSD_Close]]/Merged_data!D147-1,"")</f>
        <v>-1.2207107494190406E-2</v>
      </c>
      <c r="C148" s="4">
        <f>IFERROR(Merged_data[[#This Row],[XAUUSD_Close]]/Merged_data!C147-1, "")</f>
        <v>-3.9930863254971083E-3</v>
      </c>
      <c r="D148" s="4">
        <f>IFERROR(Merged_data[[#This Row],[AAPL_Close]]/Merged_data!B147-1,"")</f>
        <v>1.0488986564105574E-3</v>
      </c>
      <c r="E148" s="18">
        <f t="shared" si="10"/>
        <v>-4.944697181532798E-3</v>
      </c>
      <c r="F148" s="19">
        <f t="shared" si="11"/>
        <v>4944.6971815327979</v>
      </c>
      <c r="G148" t="b">
        <f t="shared" si="12"/>
        <v>0</v>
      </c>
      <c r="H148" t="b">
        <f t="shared" si="13"/>
        <v>0</v>
      </c>
      <c r="I148" t="b">
        <f t="shared" ca="1" si="14"/>
        <v>0</v>
      </c>
    </row>
    <row r="149" spans="1:9" x14ac:dyDescent="0.25">
      <c r="A149" s="1">
        <v>45806</v>
      </c>
      <c r="B149" s="4">
        <f>IFERROR(Merged_data[[#This Row],[BTCUSD_Close]]/Merged_data!D148-1,"")</f>
        <v>-1.042383440888206E-2</v>
      </c>
      <c r="C149" s="4">
        <f>IFERROR(Merged_data[[#This Row],[XAUUSD_Close]]/Merged_data!C148-1, "")</f>
        <v>9.1847210287372416E-3</v>
      </c>
      <c r="D149" s="4">
        <f>IFERROR(Merged_data[[#This Row],[AAPL_Close]]/Merged_data!B148-1,"")</f>
        <v>-2.3450753417822989E-3</v>
      </c>
      <c r="E149" s="18">
        <f t="shared" si="10"/>
        <v>-1.5678451370441081E-4</v>
      </c>
      <c r="F149" s="19">
        <f t="shared" si="11"/>
        <v>156.78451370441081</v>
      </c>
      <c r="G149" t="b">
        <f t="shared" si="12"/>
        <v>0</v>
      </c>
      <c r="H149" t="b">
        <f t="shared" si="13"/>
        <v>0</v>
      </c>
      <c r="I149" t="b">
        <f t="shared" ca="1" si="14"/>
        <v>0</v>
      </c>
    </row>
    <row r="150" spans="1:9" x14ac:dyDescent="0.25">
      <c r="A150" s="1">
        <v>45807</v>
      </c>
      <c r="B150" s="4">
        <f>IFERROR(Merged_data[[#This Row],[BTCUSD_Close]]/Merged_data!D149-1,"")</f>
        <v>-1.72616306931902E-2</v>
      </c>
      <c r="C150" s="4">
        <f>IFERROR(Merged_data[[#This Row],[XAUUSD_Close]]/Merged_data!C149-1, "")</f>
        <v>-6.8797246301676163E-3</v>
      </c>
      <c r="D150" s="4">
        <f>IFERROR(Merged_data[[#This Row],[AAPL_Close]]/Merged_data!B149-1,"")</f>
        <v>4.5011252813202951E-3</v>
      </c>
      <c r="E150" s="18">
        <f t="shared" si="10"/>
        <v>-6.5800414756280179E-3</v>
      </c>
      <c r="F150" s="19">
        <f t="shared" si="11"/>
        <v>6580.0414756280179</v>
      </c>
      <c r="G150" t="b">
        <f t="shared" si="12"/>
        <v>0</v>
      </c>
      <c r="H150" t="b">
        <f t="shared" si="13"/>
        <v>0</v>
      </c>
      <c r="I150" t="b">
        <f t="shared" ca="1" si="14"/>
        <v>0</v>
      </c>
    </row>
    <row r="151" spans="1:9" x14ac:dyDescent="0.25">
      <c r="A151" s="1">
        <v>45810</v>
      </c>
      <c r="B151" s="4">
        <f>IFERROR(Merged_data[[#This Row],[BTCUSD_Close]]/Merged_data!D150-1,"")</f>
        <v>3.5187026696243962E-3</v>
      </c>
      <c r="C151" s="4">
        <f>IFERROR(Merged_data[[#This Row],[XAUUSD_Close]]/Merged_data!C150-1, "")</f>
        <v>2.6321020851954202E-2</v>
      </c>
      <c r="D151" s="4">
        <f>IFERROR(Merged_data[[#This Row],[AAPL_Close]]/Merged_data!B150-1,"")</f>
        <v>4.2320139407516777E-3</v>
      </c>
      <c r="E151" s="18">
        <f t="shared" si="10"/>
        <v>1.2853623323894503E-2</v>
      </c>
      <c r="F151" s="19">
        <f t="shared" si="11"/>
        <v>12853.623323894502</v>
      </c>
      <c r="G151" t="b">
        <f t="shared" si="12"/>
        <v>0</v>
      </c>
      <c r="H151" t="b">
        <f t="shared" si="13"/>
        <v>0</v>
      </c>
      <c r="I151" t="b">
        <f t="shared" ca="1" si="14"/>
        <v>0</v>
      </c>
    </row>
    <row r="152" spans="1:9" x14ac:dyDescent="0.25">
      <c r="A152" s="1">
        <v>45811</v>
      </c>
      <c r="B152" s="4">
        <f>IFERROR(Merged_data[[#This Row],[BTCUSD_Close]]/Merged_data!D151-1,"")</f>
        <v>4.7926671240186014E-3</v>
      </c>
      <c r="C152" s="4">
        <f>IFERROR(Merged_data[[#This Row],[XAUUSD_Close]]/Merged_data!C151-1, "")</f>
        <v>-8.330326884747552E-3</v>
      </c>
      <c r="D152" s="4">
        <f>IFERROR(Merged_data[[#This Row],[AAPL_Close]]/Merged_data!B151-1,"")</f>
        <v>7.7838373822509688E-3</v>
      </c>
      <c r="E152" s="18">
        <f t="shared" si="10"/>
        <v>4.4082059798185021E-4</v>
      </c>
      <c r="F152" s="19">
        <f t="shared" si="11"/>
        <v>440.8205979818502</v>
      </c>
      <c r="G152" t="b">
        <f t="shared" si="12"/>
        <v>0</v>
      </c>
      <c r="H152" t="b">
        <f t="shared" si="13"/>
        <v>0</v>
      </c>
      <c r="I152" t="b">
        <f t="shared" ca="1" si="14"/>
        <v>0</v>
      </c>
    </row>
    <row r="153" spans="1:9" x14ac:dyDescent="0.25">
      <c r="A153" s="1">
        <v>45812</v>
      </c>
      <c r="B153" s="4">
        <f>IFERROR(Merged_data[[#This Row],[BTCUSD_Close]]/Merged_data!D152-1,"")</f>
        <v>-4.4758427765397846E-3</v>
      </c>
      <c r="C153" s="4">
        <f>IFERROR(Merged_data[[#This Row],[XAUUSD_Close]]/Merged_data!C152-1, "")</f>
        <v>5.7388659440278378E-3</v>
      </c>
      <c r="D153" s="4">
        <f>IFERROR(Merged_data[[#This Row],[AAPL_Close]]/Merged_data!B152-1,"")</f>
        <v>-2.2138042996999729E-3</v>
      </c>
      <c r="E153" s="18">
        <f t="shared" si="10"/>
        <v>2.8865225473920816E-4</v>
      </c>
      <c r="F153" s="19">
        <f t="shared" si="11"/>
        <v>288.65225473920816</v>
      </c>
      <c r="G153" t="b">
        <f t="shared" si="12"/>
        <v>0</v>
      </c>
      <c r="H153" t="b">
        <f t="shared" si="13"/>
        <v>0</v>
      </c>
      <c r="I153" t="b">
        <f t="shared" ca="1" si="14"/>
        <v>0</v>
      </c>
    </row>
    <row r="154" spans="1:9" x14ac:dyDescent="0.25">
      <c r="A154" s="1">
        <v>45813</v>
      </c>
      <c r="B154" s="4">
        <f>IFERROR(Merged_data[[#This Row],[BTCUSD_Close]]/Merged_data!D153-1,"")</f>
        <v>-3.2043283198232131E-2</v>
      </c>
      <c r="C154" s="4">
        <f>IFERROR(Merged_data[[#This Row],[XAUUSD_Close]]/Merged_data!C153-1, "")</f>
        <v>-5.8929135305741953E-3</v>
      </c>
      <c r="D154" s="4">
        <f>IFERROR(Merged_data[[#This Row],[AAPL_Close]]/Merged_data!B153-1,"")</f>
        <v>-1.0797751701015712E-2</v>
      </c>
      <c r="E154" s="18">
        <f t="shared" si="10"/>
        <v>-1.5209475882004031E-2</v>
      </c>
      <c r="F154" s="19">
        <f t="shared" si="11"/>
        <v>15209.475882004032</v>
      </c>
      <c r="G154" t="b">
        <f t="shared" si="12"/>
        <v>0</v>
      </c>
      <c r="H154" t="b">
        <f t="shared" si="13"/>
        <v>0</v>
      </c>
      <c r="I154" t="b">
        <f t="shared" ca="1" si="14"/>
        <v>0</v>
      </c>
    </row>
    <row r="155" spans="1:9" x14ac:dyDescent="0.25">
      <c r="A155" s="1">
        <v>45814</v>
      </c>
      <c r="B155" s="4">
        <f>IFERROR(Merged_data[[#This Row],[BTCUSD_Close]]/Merged_data!D154-1,"")</f>
        <v>2.6412383510957538E-2</v>
      </c>
      <c r="C155" s="4">
        <f>IFERROR(Merged_data[[#This Row],[XAUUSD_Close]]/Merged_data!C154-1, "")</f>
        <v>-1.2045084436384967E-2</v>
      </c>
      <c r="D155" s="4">
        <f>IFERROR(Merged_data[[#This Row],[AAPL_Close]]/Merged_data!B154-1,"")</f>
        <v>1.6398345212580434E-2</v>
      </c>
      <c r="E155" s="18">
        <f t="shared" si="10"/>
        <v>8.0251848425074053E-3</v>
      </c>
      <c r="F155" s="19">
        <f t="shared" si="11"/>
        <v>8025.1848425074049</v>
      </c>
      <c r="G155" t="b">
        <f t="shared" si="12"/>
        <v>0</v>
      </c>
      <c r="H155" t="b">
        <f t="shared" si="13"/>
        <v>0</v>
      </c>
      <c r="I155" t="b">
        <f t="shared" ca="1" si="14"/>
        <v>0</v>
      </c>
    </row>
    <row r="156" spans="1:9" x14ac:dyDescent="0.25">
      <c r="A156" s="1">
        <v>45817</v>
      </c>
      <c r="B156" s="4">
        <f>IFERROR(Merged_data[[#This Row],[BTCUSD_Close]]/Merged_data!D155-1,"")</f>
        <v>5.4111578765711377E-2</v>
      </c>
      <c r="C156" s="4">
        <f>IFERROR(Merged_data[[#This Row],[XAUUSD_Close]]/Merged_data!C155-1, "")</f>
        <v>3.9940406377785287E-3</v>
      </c>
      <c r="D156" s="4">
        <f>IFERROR(Merged_data[[#This Row],[AAPL_Close]]/Merged_data!B155-1,"")</f>
        <v>-1.2112593173793651E-2</v>
      </c>
      <c r="E156" s="18">
        <f t="shared" si="10"/>
        <v>1.4197311932686727E-2</v>
      </c>
      <c r="F156" s="19">
        <f t="shared" si="11"/>
        <v>14197.311932686727</v>
      </c>
      <c r="G156" t="b">
        <f t="shared" si="12"/>
        <v>0</v>
      </c>
      <c r="H156" t="b">
        <f t="shared" si="13"/>
        <v>0</v>
      </c>
      <c r="I156" t="b">
        <f t="shared" ca="1" si="14"/>
        <v>0</v>
      </c>
    </row>
    <row r="157" spans="1:9" x14ac:dyDescent="0.25">
      <c r="A157" s="1">
        <v>45818</v>
      </c>
      <c r="B157" s="4">
        <f>IFERROR(Merged_data[[#This Row],[BTCUSD_Close]]/Merged_data!D156-1,"")</f>
        <v>-2.6376344966205778E-4</v>
      </c>
      <c r="C157" s="4">
        <f>IFERROR(Merged_data[[#This Row],[XAUUSD_Close]]/Merged_data!C156-1, "")</f>
        <v>-7.336878488963805E-4</v>
      </c>
      <c r="D157" s="4">
        <f>IFERROR(Merged_data[[#This Row],[AAPL_Close]]/Merged_data!B156-1,"")</f>
        <v>6.0560933234052872E-3</v>
      </c>
      <c r="E157" s="18">
        <f t="shared" si="10"/>
        <v>1.4442238225644164E-3</v>
      </c>
      <c r="F157" s="19">
        <f t="shared" si="11"/>
        <v>1444.2238225644164</v>
      </c>
      <c r="G157" t="b">
        <f t="shared" si="12"/>
        <v>0</v>
      </c>
      <c r="H157" t="b">
        <f t="shared" si="13"/>
        <v>0</v>
      </c>
      <c r="I157" t="b">
        <f t="shared" ca="1" si="14"/>
        <v>0</v>
      </c>
    </row>
    <row r="158" spans="1:9" x14ac:dyDescent="0.25">
      <c r="A158" s="1">
        <v>45819</v>
      </c>
      <c r="B158" s="4">
        <f>IFERROR(Merged_data[[#This Row],[BTCUSD_Close]]/Merged_data!D157-1,"")</f>
        <v>-1.2436543605232941E-2</v>
      </c>
      <c r="C158" s="4">
        <f>IFERROR(Merged_data[[#This Row],[XAUUSD_Close]]/Merged_data!C157-1, "")</f>
        <v>9.5840636730886164E-3</v>
      </c>
      <c r="D158" s="4">
        <f>IFERROR(Merged_data[[#This Row],[AAPL_Close]]/Merged_data!B157-1,"")</f>
        <v>-1.9193763260472618E-2</v>
      </c>
      <c r="E158" s="18">
        <f t="shared" si="10"/>
        <v>-5.6554665904762205E-3</v>
      </c>
      <c r="F158" s="19">
        <f t="shared" si="11"/>
        <v>5655.4665904762205</v>
      </c>
      <c r="G158" t="b">
        <f t="shared" si="12"/>
        <v>0</v>
      </c>
      <c r="H158" t="b">
        <f t="shared" si="13"/>
        <v>0</v>
      </c>
      <c r="I158" t="b">
        <f t="shared" ca="1" si="14"/>
        <v>0</v>
      </c>
    </row>
    <row r="159" spans="1:9" x14ac:dyDescent="0.25">
      <c r="A159" s="1">
        <v>45820</v>
      </c>
      <c r="B159" s="4">
        <f>IFERROR(Merged_data[[#This Row],[BTCUSD_Close]]/Merged_data!D158-1,"")</f>
        <v>-2.3767629961953363E-2</v>
      </c>
      <c r="C159" s="4">
        <f>IFERROR(Merged_data[[#This Row],[XAUUSD_Close]]/Merged_data!C158-1, "")</f>
        <v>9.1816129296662385E-3</v>
      </c>
      <c r="D159" s="4">
        <f>IFERROR(Merged_data[[#This Row],[AAPL_Close]]/Merged_data!B158-1,"")</f>
        <v>2.1128886205854513E-3</v>
      </c>
      <c r="E159" s="18">
        <f t="shared" si="10"/>
        <v>-2.8237772305438778E-3</v>
      </c>
      <c r="F159" s="19">
        <f t="shared" si="11"/>
        <v>2823.777230543878</v>
      </c>
      <c r="G159" t="b">
        <f t="shared" si="12"/>
        <v>0</v>
      </c>
      <c r="H159" t="b">
        <f t="shared" si="13"/>
        <v>0</v>
      </c>
      <c r="I159" t="b">
        <f t="shared" ca="1" si="14"/>
        <v>0</v>
      </c>
    </row>
    <row r="160" spans="1:9" x14ac:dyDescent="0.25">
      <c r="A160" s="1">
        <v>45821</v>
      </c>
      <c r="B160" s="4">
        <f>IFERROR(Merged_data[[#This Row],[BTCUSD_Close]]/Merged_data!D159-1,"")</f>
        <v>-6.8226212831812294E-3</v>
      </c>
      <c r="C160" s="4">
        <f>IFERROR(Merged_data[[#This Row],[XAUUSD_Close]]/Merged_data!C159-1, "")</f>
        <v>1.377780665587669E-2</v>
      </c>
      <c r="D160" s="4">
        <f>IFERROR(Merged_data[[#This Row],[AAPL_Close]]/Merged_data!B159-1,"")</f>
        <v>-1.3805220883534086E-2</v>
      </c>
      <c r="E160" s="18">
        <f t="shared" si="10"/>
        <v>-6.7722998766391821E-4</v>
      </c>
      <c r="F160" s="19">
        <f t="shared" si="11"/>
        <v>677.22998766391822</v>
      </c>
      <c r="G160" t="b">
        <f t="shared" si="12"/>
        <v>0</v>
      </c>
      <c r="H160" t="b">
        <f t="shared" si="13"/>
        <v>0</v>
      </c>
      <c r="I160" t="b">
        <f t="shared" ca="1" si="14"/>
        <v>0</v>
      </c>
    </row>
    <row r="161" spans="1:9" x14ac:dyDescent="0.25">
      <c r="A161" s="1">
        <v>45824</v>
      </c>
      <c r="B161" s="4">
        <f>IFERROR(Merged_data[[#This Row],[BTCUSD_Close]]/Merged_data!D160-1,"")</f>
        <v>3.1535041045910539E-2</v>
      </c>
      <c r="C161" s="4">
        <f>IFERROR(Merged_data[[#This Row],[XAUUSD_Close]]/Merged_data!C160-1, "")</f>
        <v>-1.3777009960583175E-2</v>
      </c>
      <c r="D161" s="4">
        <f>IFERROR(Merged_data[[#This Row],[AAPL_Close]]/Merged_data!B160-1,"")</f>
        <v>1.0027996945787709E-2</v>
      </c>
      <c r="E161" s="18">
        <f t="shared" si="10"/>
        <v>6.958107413276203E-3</v>
      </c>
      <c r="F161" s="19">
        <f t="shared" si="11"/>
        <v>6958.1074132762033</v>
      </c>
      <c r="G161" t="b">
        <f t="shared" si="12"/>
        <v>0</v>
      </c>
      <c r="H161" t="b">
        <f t="shared" si="13"/>
        <v>0</v>
      </c>
      <c r="I161" t="b">
        <f t="shared" ca="1" si="14"/>
        <v>0</v>
      </c>
    </row>
    <row r="162" spans="1:9" x14ac:dyDescent="0.25">
      <c r="A162" s="1">
        <v>45825</v>
      </c>
      <c r="B162" s="4">
        <f>IFERROR(Merged_data[[#This Row],[BTCUSD_Close]]/Merged_data!D161-1,"")</f>
        <v>-3.6733077270257097E-2</v>
      </c>
      <c r="C162" s="4">
        <f>IFERROR(Merged_data[[#This Row],[XAUUSD_Close]]/Merged_data!C161-1, "")</f>
        <v>1.0014061041463407E-3</v>
      </c>
      <c r="D162" s="4">
        <f>IFERROR(Merged_data[[#This Row],[AAPL_Close]]/Merged_data!B161-1,"")</f>
        <v>-1.4010684406813856E-2</v>
      </c>
      <c r="E162" s="18">
        <f t="shared" si="10"/>
        <v>-1.4822566061462749E-2</v>
      </c>
      <c r="F162" s="19">
        <f t="shared" si="11"/>
        <v>14822.566061462749</v>
      </c>
      <c r="G162" t="b">
        <f t="shared" si="12"/>
        <v>0</v>
      </c>
      <c r="H162" t="b">
        <f t="shared" si="13"/>
        <v>0</v>
      </c>
      <c r="I162" t="b">
        <f t="shared" ca="1" si="14"/>
        <v>0</v>
      </c>
    </row>
    <row r="163" spans="1:9" x14ac:dyDescent="0.25">
      <c r="A163" s="1">
        <v>45826</v>
      </c>
      <c r="B163" s="4">
        <f>IFERROR(Merged_data[[#This Row],[BTCUSD_Close]]/Merged_data!D162-1,"")</f>
        <v>5.0392526224194434E-3</v>
      </c>
      <c r="C163" s="4">
        <f>IFERROR(Merged_data[[#This Row],[XAUUSD_Close]]/Merged_data!C162-1, "")</f>
        <v>-5.6719087064684981E-3</v>
      </c>
      <c r="D163" s="4">
        <f>IFERROR(Merged_data[[#This Row],[AAPL_Close]]/Merged_data!B162-1,"")</f>
        <v>4.8047434062565841E-3</v>
      </c>
      <c r="E163" s="18">
        <f t="shared" si="10"/>
        <v>6.8443532601540884E-4</v>
      </c>
      <c r="F163" s="19">
        <f t="shared" si="11"/>
        <v>684.4353260154088</v>
      </c>
      <c r="G163" t="b">
        <f t="shared" si="12"/>
        <v>0</v>
      </c>
      <c r="H163" t="b">
        <f t="shared" si="13"/>
        <v>0</v>
      </c>
      <c r="I163" t="b">
        <f t="shared" ca="1" si="14"/>
        <v>0</v>
      </c>
    </row>
    <row r="164" spans="1:9" x14ac:dyDescent="0.25">
      <c r="A164" s="1">
        <v>45828</v>
      </c>
      <c r="B164" s="4">
        <f>IFERROR(Merged_data[[#This Row],[BTCUSD_Close]]/Merged_data!D163-1,"")</f>
        <v>-1.5879207657031991E-2</v>
      </c>
      <c r="C164" s="4">
        <f>IFERROR(Merged_data[[#This Row],[XAUUSD_Close]]/Merged_data!C163-1, "")</f>
        <v>-1.1708281271795018E-3</v>
      </c>
      <c r="D164" s="4">
        <f>IFERROR(Merged_data[[#This Row],[AAPL_Close]]/Merged_data!B163-1,"")</f>
        <v>2.248448468816755E-2</v>
      </c>
      <c r="E164" s="18">
        <f t="shared" si="10"/>
        <v>1.5132518584688674E-3</v>
      </c>
      <c r="F164" s="19">
        <f t="shared" si="11"/>
        <v>1513.2518584688673</v>
      </c>
      <c r="G164" t="b">
        <f t="shared" si="12"/>
        <v>0</v>
      </c>
      <c r="H164" t="b">
        <f t="shared" si="13"/>
        <v>0</v>
      </c>
      <c r="I164" t="b">
        <f t="shared" ca="1" si="14"/>
        <v>0</v>
      </c>
    </row>
    <row r="165" spans="1:9" x14ac:dyDescent="0.25">
      <c r="A165" s="1">
        <v>45831</v>
      </c>
      <c r="B165" s="4">
        <f>IFERROR(Merged_data[[#This Row],[BTCUSD_Close]]/Merged_data!D164-1,"")</f>
        <v>3.3933698773165322E-3</v>
      </c>
      <c r="C165" s="4">
        <f>IFERROR(Merged_data[[#This Row],[XAUUSD_Close]]/Merged_data!C164-1, "")</f>
        <v>9.7757664988340487E-4</v>
      </c>
      <c r="D165" s="4">
        <f>IFERROR(Merged_data[[#This Row],[AAPL_Close]]/Merged_data!B164-1,"")</f>
        <v>2.4875621890547706E-3</v>
      </c>
      <c r="E165" s="18">
        <f t="shared" si="10"/>
        <v>2.1553102798647526E-3</v>
      </c>
      <c r="F165" s="19">
        <f t="shared" si="11"/>
        <v>2155.3102798647524</v>
      </c>
      <c r="G165" t="b">
        <f t="shared" si="12"/>
        <v>0</v>
      </c>
      <c r="H165" t="b">
        <f t="shared" si="13"/>
        <v>0</v>
      </c>
      <c r="I165" t="b">
        <f t="shared" ca="1" si="14"/>
        <v>0</v>
      </c>
    </row>
    <row r="166" spans="1:9" x14ac:dyDescent="0.25">
      <c r="A166" s="1">
        <v>45832</v>
      </c>
      <c r="B166" s="4">
        <f>IFERROR(Merged_data[[#This Row],[BTCUSD_Close]]/Merged_data!D165-1,"")</f>
        <v>2.2324353489806104E-2</v>
      </c>
      <c r="C166" s="4">
        <f>IFERROR(Merged_data[[#This Row],[XAUUSD_Close]]/Merged_data!C165-1, "")</f>
        <v>-1.3274933914754983E-2</v>
      </c>
      <c r="D166" s="4">
        <f>IFERROR(Merged_data[[#This Row],[AAPL_Close]]/Merged_data!B165-1,"")</f>
        <v>-5.9553349875930417E-3</v>
      </c>
      <c r="E166" s="18">
        <f t="shared" si="10"/>
        <v>-3.9926801523807527E-4</v>
      </c>
      <c r="F166" s="19">
        <f t="shared" si="11"/>
        <v>399.26801523807529</v>
      </c>
      <c r="G166" t="b">
        <f t="shared" si="12"/>
        <v>0</v>
      </c>
      <c r="H166" t="b">
        <f t="shared" si="13"/>
        <v>0</v>
      </c>
      <c r="I166" t="b">
        <f t="shared" ca="1" si="14"/>
        <v>0</v>
      </c>
    </row>
    <row r="167" spans="1:9" x14ac:dyDescent="0.25">
      <c r="A167" s="1">
        <v>45833</v>
      </c>
      <c r="B167" s="4">
        <f>IFERROR(Merged_data[[#This Row],[BTCUSD_Close]]/Merged_data!D166-1,"")</f>
        <v>1.4815512935300035E-2</v>
      </c>
      <c r="C167" s="4">
        <f>IFERROR(Merged_data[[#This Row],[XAUUSD_Close]]/Merged_data!C166-1, "")</f>
        <v>2.4849317170247964E-3</v>
      </c>
      <c r="D167" s="4">
        <f>IFERROR(Merged_data[[#This Row],[AAPL_Close]]/Merged_data!B166-1,"")</f>
        <v>6.2905641537693846E-3</v>
      </c>
      <c r="E167" s="18">
        <f t="shared" si="10"/>
        <v>7.3257958135307449E-3</v>
      </c>
      <c r="F167" s="19">
        <f t="shared" si="11"/>
        <v>7325.7958135307445</v>
      </c>
      <c r="G167" t="b">
        <f t="shared" si="12"/>
        <v>0</v>
      </c>
      <c r="H167" t="b">
        <f t="shared" si="13"/>
        <v>0</v>
      </c>
      <c r="I167" t="b">
        <f t="shared" ca="1" si="14"/>
        <v>0</v>
      </c>
    </row>
    <row r="168" spans="1:9" x14ac:dyDescent="0.25">
      <c r="A168" s="1">
        <v>45834</v>
      </c>
      <c r="B168" s="4">
        <f>IFERROR(Merged_data[[#This Row],[BTCUSD_Close]]/Merged_data!D167-1,"")</f>
        <v>-5.3028966260204591E-3</v>
      </c>
      <c r="C168" s="4">
        <f>IFERROR(Merged_data[[#This Row],[XAUUSD_Close]]/Merged_data!C167-1, "")</f>
        <v>-1.3174103733312181E-3</v>
      </c>
      <c r="D168" s="4">
        <f>IFERROR(Merged_data[[#This Row],[AAPL_Close]]/Merged_data!B167-1,"")</f>
        <v>-2.7783290335383626E-3</v>
      </c>
      <c r="E168" s="18">
        <f t="shared" si="10"/>
        <v>-2.9513318472001336E-3</v>
      </c>
      <c r="F168" s="19">
        <f t="shared" si="11"/>
        <v>2951.3318472001338</v>
      </c>
      <c r="G168" t="b">
        <f t="shared" si="12"/>
        <v>0</v>
      </c>
      <c r="H168" t="b">
        <f t="shared" si="13"/>
        <v>0</v>
      </c>
      <c r="I168" t="b">
        <f t="shared" ca="1" si="14"/>
        <v>0</v>
      </c>
    </row>
    <row r="169" spans="1:9" x14ac:dyDescent="0.25">
      <c r="A169" s="1">
        <v>45835</v>
      </c>
      <c r="B169" s="4">
        <f>IFERROR(Merged_data[[#This Row],[BTCUSD_Close]]/Merged_data!D168-1,"")</f>
        <v>-2.0820495583814269E-3</v>
      </c>
      <c r="C169" s="4">
        <f>IFERROR(Merged_data[[#This Row],[XAUUSD_Close]]/Merged_data!C168-1, "")</f>
        <v>-1.7058780223594083E-2</v>
      </c>
      <c r="D169" s="4">
        <f>IFERROR(Merged_data[[#This Row],[AAPL_Close]]/Merged_data!B168-1,"")</f>
        <v>3.9800995024874553E-4</v>
      </c>
      <c r="E169" s="18">
        <f t="shared" si="10"/>
        <v>-7.3287239718774384E-3</v>
      </c>
      <c r="F169" s="19">
        <f t="shared" si="11"/>
        <v>7328.7239718774381</v>
      </c>
      <c r="G169" t="b">
        <f t="shared" si="12"/>
        <v>0</v>
      </c>
      <c r="H169" t="b">
        <f t="shared" si="13"/>
        <v>0</v>
      </c>
      <c r="I169" t="b">
        <f t="shared" ca="1" si="14"/>
        <v>0</v>
      </c>
    </row>
    <row r="170" spans="1:9" x14ac:dyDescent="0.25">
      <c r="A170" s="1">
        <v>45838</v>
      </c>
      <c r="B170" s="4">
        <f>IFERROR(Merged_data[[#This Row],[BTCUSD_Close]]/Merged_data!D169-1,"")</f>
        <v>2.7132471955315651E-3</v>
      </c>
      <c r="C170" s="4">
        <f>IFERROR(Merged_data[[#This Row],[XAUUSD_Close]]/Merged_data!C169-1, "")</f>
        <v>9.7565523893083927E-3</v>
      </c>
      <c r="D170" s="4">
        <f>IFERROR(Merged_data[[#This Row],[AAPL_Close]]/Merged_data!B169-1,"")</f>
        <v>2.0340163119156429E-2</v>
      </c>
      <c r="E170" s="18">
        <f t="shared" si="10"/>
        <v>1.0818644050129755E-2</v>
      </c>
      <c r="F170" s="19">
        <f t="shared" si="11"/>
        <v>10818.644050129755</v>
      </c>
      <c r="G170" t="b">
        <f t="shared" si="12"/>
        <v>0</v>
      </c>
      <c r="H170" t="b">
        <f t="shared" si="13"/>
        <v>0</v>
      </c>
      <c r="I170" t="b">
        <f t="shared" ca="1" si="14"/>
        <v>0</v>
      </c>
    </row>
    <row r="171" spans="1:9" x14ac:dyDescent="0.25">
      <c r="A171" s="1">
        <v>45839</v>
      </c>
      <c r="B171" s="4">
        <f>IFERROR(Merged_data[[#This Row],[BTCUSD_Close]]/Merged_data!D170-1,"")</f>
        <v>-1.273641682140092E-2</v>
      </c>
      <c r="C171" s="4">
        <f>IFERROR(Merged_data[[#This Row],[XAUUSD_Close]]/Merged_data!C170-1, "")</f>
        <v>1.0740073568368702E-2</v>
      </c>
      <c r="D171" s="4">
        <f>IFERROR(Merged_data[[#This Row],[AAPL_Close]]/Merged_data!B170-1,"")</f>
        <v>1.2916118340888127E-2</v>
      </c>
      <c r="E171" s="18">
        <f t="shared" si="10"/>
        <v>4.3499398831936438E-3</v>
      </c>
      <c r="F171" s="19">
        <f t="shared" si="11"/>
        <v>4349.9398831936442</v>
      </c>
      <c r="G171" t="b">
        <f t="shared" si="12"/>
        <v>0</v>
      </c>
      <c r="H171" t="b">
        <f t="shared" si="13"/>
        <v>0</v>
      </c>
      <c r="I171" t="b">
        <f t="shared" ca="1" si="14"/>
        <v>0</v>
      </c>
    </row>
    <row r="172" spans="1:9" x14ac:dyDescent="0.25">
      <c r="A172" s="1">
        <v>45840</v>
      </c>
      <c r="B172" s="4">
        <f>IFERROR(Merged_data[[#This Row],[BTCUSD_Close]]/Merged_data!D171-1,"")</f>
        <v>3.4855587479207584E-2</v>
      </c>
      <c r="C172" s="4">
        <f>IFERROR(Merged_data[[#This Row],[XAUUSD_Close]]/Merged_data!C171-1, "")</f>
        <v>5.7360660770848781E-3</v>
      </c>
      <c r="D172" s="4">
        <f>IFERROR(Merged_data[[#This Row],[AAPL_Close]]/Merged_data!B171-1,"")</f>
        <v>2.2230776633625382E-2</v>
      </c>
      <c r="E172" s="18">
        <f t="shared" si="10"/>
        <v>1.942033566468384E-2</v>
      </c>
      <c r="F172" s="19">
        <f t="shared" si="11"/>
        <v>19420.33566468384</v>
      </c>
      <c r="G172" t="b">
        <f t="shared" si="12"/>
        <v>0</v>
      </c>
      <c r="H172" t="b">
        <f t="shared" si="13"/>
        <v>0</v>
      </c>
      <c r="I172" t="b">
        <f t="shared" ca="1" si="14"/>
        <v>0</v>
      </c>
    </row>
    <row r="173" spans="1:9" x14ac:dyDescent="0.25">
      <c r="A173" s="1">
        <v>45841</v>
      </c>
      <c r="B173" s="4">
        <f>IFERROR(Merged_data[[#This Row],[BTCUSD_Close]]/Merged_data!D172-1,"")</f>
        <v>3.360853364506422E-3</v>
      </c>
      <c r="C173" s="4">
        <f>IFERROR(Merged_data[[#This Row],[XAUUSD_Close]]/Merged_data!C172-1, "")</f>
        <v>-9.4023394164116647E-3</v>
      </c>
      <c r="D173" s="4">
        <f>IFERROR(Merged_data[[#This Row],[AAPL_Close]]/Merged_data!B172-1,"")</f>
        <v>5.2250047072115446E-3</v>
      </c>
      <c r="E173" s="18">
        <f t="shared" si="10"/>
        <v>-1.1851783450492763E-3</v>
      </c>
      <c r="F173" s="19">
        <f t="shared" si="11"/>
        <v>1185.1783450492762</v>
      </c>
      <c r="G173" t="b">
        <f t="shared" si="12"/>
        <v>0</v>
      </c>
      <c r="H173" t="b">
        <f t="shared" si="13"/>
        <v>0</v>
      </c>
      <c r="I173" t="b">
        <f t="shared" ca="1" si="14"/>
        <v>0</v>
      </c>
    </row>
    <row r="174" spans="1:9" x14ac:dyDescent="0.25">
      <c r="A174" s="1">
        <v>45845</v>
      </c>
      <c r="B174" s="4">
        <f>IFERROR(Merged_data[[#This Row],[BTCUSD_Close]]/Merged_data!D173-1,"")</f>
        <v>-1.4954853273137725E-2</v>
      </c>
      <c r="C174" s="4">
        <f>IFERROR(Merged_data[[#This Row],[XAUUSD_Close]]/Merged_data!C173-1, "")</f>
        <v>3.2650803266884854E-3</v>
      </c>
      <c r="D174" s="4">
        <f>IFERROR(Merged_data[[#This Row],[AAPL_Close]]/Merged_data!B173-1,"")</f>
        <v>-1.6857878716928232E-2</v>
      </c>
      <c r="E174" s="18">
        <f t="shared" si="10"/>
        <v>-8.2377874663443935E-3</v>
      </c>
      <c r="F174" s="19">
        <f t="shared" si="11"/>
        <v>8237.7874663443927</v>
      </c>
      <c r="G174" t="b">
        <f t="shared" si="12"/>
        <v>0</v>
      </c>
      <c r="H174" t="b">
        <f t="shared" si="13"/>
        <v>0</v>
      </c>
      <c r="I174" t="b">
        <f t="shared" ca="1" si="14"/>
        <v>0</v>
      </c>
    </row>
    <row r="175" spans="1:9" x14ac:dyDescent="0.25">
      <c r="A175" s="1">
        <v>45846</v>
      </c>
      <c r="B175" s="4">
        <f>IFERROR(Merged_data[[#This Row],[BTCUSD_Close]]/Merged_data!D174-1,"")</f>
        <v>6.2741981685625614E-3</v>
      </c>
      <c r="C175" s="4">
        <f>IFERROR(Merged_data[[#This Row],[XAUUSD_Close]]/Merged_data!C174-1, "")</f>
        <v>-1.0596455162100948E-2</v>
      </c>
      <c r="D175" s="4">
        <f>IFERROR(Merged_data[[#This Row],[AAPL_Close]]/Merged_data!B174-1,"")</f>
        <v>2.8578232912601642E-4</v>
      </c>
      <c r="E175" s="18">
        <f t="shared" si="10"/>
        <v>-2.2705879155338064E-3</v>
      </c>
      <c r="F175" s="19">
        <f t="shared" si="11"/>
        <v>2270.5879155338066</v>
      </c>
      <c r="G175" t="b">
        <f t="shared" si="12"/>
        <v>0</v>
      </c>
      <c r="H175" t="b">
        <f t="shared" si="13"/>
        <v>0</v>
      </c>
      <c r="I175" t="b">
        <f t="shared" ca="1" si="14"/>
        <v>0</v>
      </c>
    </row>
    <row r="176" spans="1:9" x14ac:dyDescent="0.25">
      <c r="A176" s="1">
        <v>45847</v>
      </c>
      <c r="B176" s="4">
        <f>IFERROR(Merged_data[[#This Row],[BTCUSD_Close]]/Merged_data!D175-1,"")</f>
        <v>1.7970615243342536E-2</v>
      </c>
      <c r="C176" s="4">
        <f>IFERROR(Merged_data[[#This Row],[XAUUSD_Close]]/Merged_data!C175-1, "")</f>
        <v>3.6588265404249309E-3</v>
      </c>
      <c r="D176" s="4">
        <f>IFERROR(Merged_data[[#This Row],[AAPL_Close]]/Merged_data!B175-1,"")</f>
        <v>5.3806961573257261E-3</v>
      </c>
      <c r="E176" s="18">
        <f t="shared" si="10"/>
        <v>8.468924036370451E-3</v>
      </c>
      <c r="F176" s="19">
        <f t="shared" si="11"/>
        <v>8468.9240363704503</v>
      </c>
      <c r="G176" t="b">
        <f t="shared" si="12"/>
        <v>0</v>
      </c>
      <c r="H176" t="b">
        <f t="shared" si="13"/>
        <v>0</v>
      </c>
      <c r="I176" t="b">
        <f t="shared" ca="1" si="14"/>
        <v>0</v>
      </c>
    </row>
    <row r="177" spans="1:9" x14ac:dyDescent="0.25">
      <c r="A177" s="1">
        <v>45848</v>
      </c>
      <c r="B177" s="4">
        <f>IFERROR(Merged_data[[#This Row],[BTCUSD_Close]]/Merged_data!D176-1,"")</f>
        <v>5.0741044769387678E-2</v>
      </c>
      <c r="C177" s="4">
        <f>IFERROR(Merged_data[[#This Row],[XAUUSD_Close]]/Merged_data!C176-1, "")</f>
        <v>3.1264287341736807E-3</v>
      </c>
      <c r="D177" s="4">
        <f>IFERROR(Merged_data[[#This Row],[AAPL_Close]]/Merged_data!B176-1,"")</f>
        <v>6.0149663730226788E-3</v>
      </c>
      <c r="E177" s="18">
        <f t="shared" si="10"/>
        <v>1.8277374836392576E-2</v>
      </c>
      <c r="F177" s="19">
        <f t="shared" si="11"/>
        <v>18277.374836392577</v>
      </c>
      <c r="G177" t="b">
        <f t="shared" si="12"/>
        <v>0</v>
      </c>
      <c r="H177" t="b">
        <f t="shared" si="13"/>
        <v>0</v>
      </c>
      <c r="I177" t="b">
        <f t="shared" ca="1" si="14"/>
        <v>0</v>
      </c>
    </row>
    <row r="178" spans="1:9" x14ac:dyDescent="0.25">
      <c r="A178" s="1">
        <v>45849</v>
      </c>
      <c r="B178" s="4">
        <f>IFERROR(Merged_data[[#This Row],[BTCUSD_Close]]/Merged_data!D177-1,"")</f>
        <v>1.3272436943047028E-2</v>
      </c>
      <c r="C178" s="4">
        <f>IFERROR(Merged_data[[#This Row],[XAUUSD_Close]]/Merged_data!C177-1, "")</f>
        <v>9.7471604626291342E-3</v>
      </c>
      <c r="D178" s="4">
        <f>IFERROR(Merged_data[[#This Row],[AAPL_Close]]/Merged_data!B177-1,"")</f>
        <v>-5.8848453462643224E-3</v>
      </c>
      <c r="E178" s="18">
        <f t="shared" si="10"/>
        <v>6.1151416640864648E-3</v>
      </c>
      <c r="F178" s="19">
        <f t="shared" si="11"/>
        <v>6115.1416640864645</v>
      </c>
      <c r="G178" t="b">
        <f t="shared" si="12"/>
        <v>0</v>
      </c>
      <c r="H178" t="b">
        <f t="shared" si="13"/>
        <v>0</v>
      </c>
      <c r="I178" t="b">
        <f t="shared" ca="1" si="14"/>
        <v>0</v>
      </c>
    </row>
    <row r="179" spans="1:9" x14ac:dyDescent="0.25">
      <c r="A179" s="1">
        <v>45852</v>
      </c>
      <c r="B179" s="4">
        <f>IFERROR(Merged_data[[#This Row],[BTCUSD_Close]]/Merged_data!D178-1,"")</f>
        <v>1.7004439624495937E-2</v>
      </c>
      <c r="C179" s="4">
        <f>IFERROR(Merged_data[[#This Row],[XAUUSD_Close]]/Merged_data!C178-1, "")</f>
        <v>-3.8552694889980588E-3</v>
      </c>
      <c r="D179" s="4">
        <f>IFERROR(Merged_data[[#This Row],[AAPL_Close]]/Merged_data!B178-1,"")</f>
        <v>-1.2028793332070409E-2</v>
      </c>
      <c r="E179" s="18">
        <f t="shared" si="10"/>
        <v>-4.9413907871565139E-5</v>
      </c>
      <c r="F179" s="19">
        <f t="shared" si="11"/>
        <v>49.413907871565137</v>
      </c>
      <c r="G179" t="b">
        <f t="shared" si="12"/>
        <v>0</v>
      </c>
      <c r="H179" t="b">
        <f t="shared" si="13"/>
        <v>0</v>
      </c>
      <c r="I179" t="b">
        <f t="shared" ca="1" si="14"/>
        <v>0</v>
      </c>
    </row>
    <row r="180" spans="1:9" x14ac:dyDescent="0.25">
      <c r="A180" s="1">
        <v>45853</v>
      </c>
      <c r="B180" s="4">
        <f>IFERROR(Merged_data[[#This Row],[BTCUSD_Close]]/Merged_data!D179-1,"")</f>
        <v>-2.071895697088344E-2</v>
      </c>
      <c r="C180" s="4">
        <f>IFERROR(Merged_data[[#This Row],[XAUUSD_Close]]/Merged_data!C179-1, "")</f>
        <v>-5.8381847791464381E-3</v>
      </c>
      <c r="D180" s="4">
        <f>IFERROR(Merged_data[[#This Row],[AAPL_Close]]/Merged_data!B179-1,"")</f>
        <v>2.3487680951010947E-3</v>
      </c>
      <c r="E180" s="18">
        <f t="shared" si="10"/>
        <v>-7.8463305743932781E-3</v>
      </c>
      <c r="F180" s="19">
        <f t="shared" si="11"/>
        <v>7846.3305743932779</v>
      </c>
      <c r="G180" t="b">
        <f t="shared" si="12"/>
        <v>0</v>
      </c>
      <c r="H180" t="b">
        <f t="shared" si="13"/>
        <v>0</v>
      </c>
      <c r="I180" t="b">
        <f t="shared" ca="1" si="14"/>
        <v>0</v>
      </c>
    </row>
    <row r="181" spans="1:9" x14ac:dyDescent="0.25">
      <c r="A181" s="1">
        <v>45854</v>
      </c>
      <c r="B181" s="4">
        <f>IFERROR(Merged_data[[#This Row],[BTCUSD_Close]]/Merged_data!D180-1,"")</f>
        <v>1.5287371967196428E-2</v>
      </c>
      <c r="C181" s="4">
        <f>IFERROR(Merged_data[[#This Row],[XAUUSD_Close]]/Merged_data!C180-1, "")</f>
        <v>7.0969032652072883E-3</v>
      </c>
      <c r="D181" s="4">
        <f>IFERROR(Merged_data[[#This Row],[AAPL_Close]]/Merged_data!B180-1,"")</f>
        <v>5.0212806656781961E-3</v>
      </c>
      <c r="E181" s="18">
        <f t="shared" si="10"/>
        <v>8.9313570959453029E-3</v>
      </c>
      <c r="F181" s="19">
        <f t="shared" si="11"/>
        <v>8931.3570959453027</v>
      </c>
      <c r="G181" t="b">
        <f t="shared" si="12"/>
        <v>0</v>
      </c>
      <c r="H181" t="b">
        <f t="shared" si="13"/>
        <v>0</v>
      </c>
      <c r="I181" t="b">
        <f t="shared" ca="1" si="14"/>
        <v>0</v>
      </c>
    </row>
    <row r="182" spans="1:9" x14ac:dyDescent="0.25">
      <c r="A182" s="1">
        <v>45855</v>
      </c>
      <c r="B182" s="4">
        <f>IFERROR(Merged_data[[#This Row],[BTCUSD_Close]]/Merged_data!D181-1,"")</f>
        <v>8.2868993254849865E-3</v>
      </c>
      <c r="C182" s="4">
        <f>IFERROR(Merged_data[[#This Row],[XAUUSD_Close]]/Merged_data!C181-1, "")</f>
        <v>-2.5003173939344148E-3</v>
      </c>
      <c r="D182" s="4">
        <f>IFERROR(Merged_data[[#This Row],[AAPL_Close]]/Merged_data!B181-1,"")</f>
        <v>-6.6615911686329632E-4</v>
      </c>
      <c r="E182" s="18">
        <f t="shared" si="10"/>
        <v>1.2860951050127408E-3</v>
      </c>
      <c r="F182" s="19">
        <f t="shared" si="11"/>
        <v>1286.0951050127408</v>
      </c>
      <c r="G182" t="b">
        <f t="shared" si="12"/>
        <v>0</v>
      </c>
      <c r="H182" t="b">
        <f t="shared" si="13"/>
        <v>0</v>
      </c>
      <c r="I182" t="b">
        <f t="shared" ca="1" si="14"/>
        <v>0</v>
      </c>
    </row>
    <row r="183" spans="1:9" x14ac:dyDescent="0.25">
      <c r="A183" s="1">
        <v>45856</v>
      </c>
      <c r="B183" s="4">
        <f>IFERROR(Merged_data[[#This Row],[BTCUSD_Close]]/Merged_data!D182-1,"")</f>
        <v>-2.4074658866155896E-2</v>
      </c>
      <c r="C183" s="4">
        <f>IFERROR(Merged_data[[#This Row],[XAUUSD_Close]]/Merged_data!C182-1, "")</f>
        <v>2.7222048361810192E-3</v>
      </c>
      <c r="D183" s="4">
        <f>IFERROR(Merged_data[[#This Row],[AAPL_Close]]/Merged_data!B182-1,"")</f>
        <v>5.5232834968097499E-3</v>
      </c>
      <c r="E183" s="18">
        <f t="shared" si="10"/>
        <v>-4.4765306763314356E-3</v>
      </c>
      <c r="F183" s="19">
        <f t="shared" si="11"/>
        <v>4476.5306763314356</v>
      </c>
      <c r="G183" t="b">
        <f t="shared" si="12"/>
        <v>0</v>
      </c>
      <c r="H183" t="b">
        <f t="shared" si="13"/>
        <v>0</v>
      </c>
      <c r="I183" t="b">
        <f t="shared" ca="1" si="14"/>
        <v>0</v>
      </c>
    </row>
    <row r="184" spans="1:9" x14ac:dyDescent="0.25">
      <c r="A184" s="1">
        <v>45859</v>
      </c>
      <c r="B184" s="4">
        <f>IFERROR(Merged_data[[#This Row],[BTCUSD_Close]]/Merged_data!D183-1,"")</f>
        <v>-1.3879782351388092E-3</v>
      </c>
      <c r="C184" s="4">
        <f>IFERROR(Merged_data[[#This Row],[XAUUSD_Close]]/Merged_data!C183-1, "")</f>
        <v>1.4586528367422913E-2</v>
      </c>
      <c r="D184" s="4">
        <f>IFERROR(Merged_data[[#This Row],[AAPL_Close]]/Merged_data!B183-1,"")</f>
        <v>6.155885974050479E-3</v>
      </c>
      <c r="E184" s="18">
        <f t="shared" si="10"/>
        <v>7.2649836686426656E-3</v>
      </c>
      <c r="F184" s="19">
        <f t="shared" si="11"/>
        <v>7264.9836686426652</v>
      </c>
      <c r="G184" t="b">
        <f t="shared" si="12"/>
        <v>0</v>
      </c>
      <c r="H184" t="b">
        <f t="shared" si="13"/>
        <v>0</v>
      </c>
      <c r="I184" t="b">
        <f t="shared" ca="1" si="14"/>
        <v>0</v>
      </c>
    </row>
    <row r="185" spans="1:9" x14ac:dyDescent="0.25">
      <c r="A185" s="1">
        <v>45860</v>
      </c>
      <c r="B185" s="4">
        <f>IFERROR(Merged_data[[#This Row],[BTCUSD_Close]]/Merged_data!D184-1,"")</f>
        <v>1.8426931800740176E-2</v>
      </c>
      <c r="C185" s="4">
        <f>IFERROR(Merged_data[[#This Row],[XAUUSD_Close]]/Merged_data!C184-1, "")</f>
        <v>1.0187996650118381E-2</v>
      </c>
      <c r="D185" s="4">
        <f>IFERROR(Merged_data[[#This Row],[AAPL_Close]]/Merged_data!B184-1,"")</f>
        <v>9.0361445783133654E-3</v>
      </c>
      <c r="E185" s="18">
        <f t="shared" si="10"/>
        <v>1.2314121573763414E-2</v>
      </c>
      <c r="F185" s="19">
        <f t="shared" si="11"/>
        <v>12314.121573763414</v>
      </c>
      <c r="G185" t="b">
        <f t="shared" si="12"/>
        <v>0</v>
      </c>
      <c r="H185" t="b">
        <f t="shared" si="13"/>
        <v>0</v>
      </c>
      <c r="I185" t="b">
        <f t="shared" ca="1" si="14"/>
        <v>0</v>
      </c>
    </row>
    <row r="186" spans="1:9" x14ac:dyDescent="0.25">
      <c r="A186" s="1">
        <v>45861</v>
      </c>
      <c r="B186" s="4">
        <f>IFERROR(Merged_data[[#This Row],[BTCUSD_Close]]/Merged_data!D185-1,"")</f>
        <v>-1.1010172897391923E-2</v>
      </c>
      <c r="C186" s="4">
        <f>IFERROR(Merged_data[[#This Row],[XAUUSD_Close]]/Merged_data!C185-1, "")</f>
        <v>-1.2961335996701351E-2</v>
      </c>
      <c r="D186" s="4">
        <f>IFERROR(Merged_data[[#This Row],[AAPL_Close]]/Merged_data!B185-1,"")</f>
        <v>-1.1660447761193682E-3</v>
      </c>
      <c r="E186" s="18">
        <f t="shared" si="10"/>
        <v>-8.8373997007339285E-3</v>
      </c>
      <c r="F186" s="19">
        <f t="shared" si="11"/>
        <v>8837.3997007339276</v>
      </c>
      <c r="G186" t="b">
        <f t="shared" si="12"/>
        <v>0</v>
      </c>
      <c r="H186" t="b">
        <f t="shared" si="13"/>
        <v>0</v>
      </c>
      <c r="I186" t="b">
        <f t="shared" ca="1" si="14"/>
        <v>0</v>
      </c>
    </row>
    <row r="187" spans="1:9" x14ac:dyDescent="0.25">
      <c r="A187" s="1">
        <v>45862</v>
      </c>
      <c r="B187" s="4">
        <f>IFERROR(Merged_data[[#This Row],[BTCUSD_Close]]/Merged_data!D186-1,"")</f>
        <v>4.0467321368100606E-3</v>
      </c>
      <c r="C187" s="4">
        <f>IFERROR(Merged_data[[#This Row],[XAUUSD_Close]]/Merged_data!C186-1, "")</f>
        <v>-5.5029647813206184E-3</v>
      </c>
      <c r="D187" s="4">
        <f>IFERROR(Merged_data[[#This Row],[AAPL_Close]]/Merged_data!B186-1,"")</f>
        <v>-1.8211533971516092E-3</v>
      </c>
      <c r="E187" s="18">
        <f t="shared" si="10"/>
        <v>-1.5335122906307121E-3</v>
      </c>
      <c r="F187" s="19">
        <f t="shared" si="11"/>
        <v>1533.5122906307122</v>
      </c>
      <c r="G187" t="b">
        <f t="shared" si="12"/>
        <v>0</v>
      </c>
      <c r="H187" t="b">
        <f t="shared" si="13"/>
        <v>0</v>
      </c>
      <c r="I187" t="b">
        <f t="shared" ca="1" si="14"/>
        <v>0</v>
      </c>
    </row>
    <row r="188" spans="1:9" x14ac:dyDescent="0.25">
      <c r="A188" s="1">
        <v>45863</v>
      </c>
      <c r="B188" s="4">
        <f>IFERROR(Merged_data[[#This Row],[BTCUSD_Close]]/Merged_data!D187-1,"")</f>
        <v>-1.5514595524376507E-2</v>
      </c>
      <c r="C188" s="4">
        <f>IFERROR(Merged_data[[#This Row],[XAUUSD_Close]]/Merged_data!C187-1, "")</f>
        <v>-9.2292849456381276E-3</v>
      </c>
      <c r="D188" s="4">
        <f>IFERROR(Merged_data[[#This Row],[AAPL_Close]]/Merged_data!B187-1,"")</f>
        <v>5.6137724550908707E-4</v>
      </c>
      <c r="E188" s="18">
        <f t="shared" si="10"/>
        <v>-8.1776794619154766E-3</v>
      </c>
      <c r="F188" s="19">
        <f t="shared" si="11"/>
        <v>8177.6794619154762</v>
      </c>
      <c r="G188" t="b">
        <f t="shared" si="12"/>
        <v>0</v>
      </c>
      <c r="H188" t="b">
        <f t="shared" si="13"/>
        <v>0</v>
      </c>
      <c r="I188" t="b">
        <f t="shared" ca="1" si="14"/>
        <v>0</v>
      </c>
    </row>
    <row r="189" spans="1:9" x14ac:dyDescent="0.25">
      <c r="A189" s="1">
        <v>45866</v>
      </c>
      <c r="B189" s="4">
        <f>IFERROR(Merged_data[[#This Row],[BTCUSD_Close]]/Merged_data!D188-1,"")</f>
        <v>1.1648024118261713E-2</v>
      </c>
      <c r="C189" s="4">
        <f>IFERROR(Merged_data[[#This Row],[XAUUSD_Close]]/Merged_data!C188-1, "")</f>
        <v>-6.8643474899888757E-3</v>
      </c>
      <c r="D189" s="4">
        <f>IFERROR(Merged_data[[#This Row],[AAPL_Close]]/Merged_data!B188-1,"")</f>
        <v>7.9483822704329299E-4</v>
      </c>
      <c r="E189" s="18">
        <f t="shared" si="10"/>
        <v>9.8711970759595086E-4</v>
      </c>
      <c r="F189" s="19">
        <f t="shared" si="11"/>
        <v>987.1197075959509</v>
      </c>
      <c r="G189" t="b">
        <f t="shared" si="12"/>
        <v>0</v>
      </c>
      <c r="H189" t="b">
        <f t="shared" si="13"/>
        <v>0</v>
      </c>
      <c r="I189" t="b">
        <f t="shared" ca="1" si="14"/>
        <v>0</v>
      </c>
    </row>
    <row r="190" spans="1:9" x14ac:dyDescent="0.25">
      <c r="A190" s="1">
        <v>45867</v>
      </c>
      <c r="B190" s="4">
        <f>IFERROR(Merged_data[[#This Row],[BTCUSD_Close]]/Merged_data!D189-1,"")</f>
        <v>-4.402377283733161E-3</v>
      </c>
      <c r="C190" s="4">
        <f>IFERROR(Merged_data[[#This Row],[XAUUSD_Close]]/Merged_data!C189-1, "")</f>
        <v>3.6173021080816437E-3</v>
      </c>
      <c r="D190" s="4">
        <f>IFERROR(Merged_data[[#This Row],[AAPL_Close]]/Merged_data!B189-1,"")</f>
        <v>-1.2987619715019827E-2</v>
      </c>
      <c r="E190" s="18">
        <f t="shared" si="10"/>
        <v>-3.7700782563932387E-3</v>
      </c>
      <c r="F190" s="19">
        <f t="shared" si="11"/>
        <v>3770.0782563932389</v>
      </c>
      <c r="G190" t="b">
        <f t="shared" si="12"/>
        <v>0</v>
      </c>
      <c r="H190" t="b">
        <f t="shared" si="13"/>
        <v>0</v>
      </c>
      <c r="I190" t="b">
        <f t="shared" ca="1" si="14"/>
        <v>0</v>
      </c>
    </row>
    <row r="191" spans="1:9" x14ac:dyDescent="0.25">
      <c r="A191" s="1">
        <v>45868</v>
      </c>
      <c r="B191" s="4">
        <f>IFERROR(Merged_data[[#This Row],[BTCUSD_Close]]/Merged_data!D190-1,"")</f>
        <v>-2.4065035119644751E-3</v>
      </c>
      <c r="C191" s="4">
        <f>IFERROR(Merged_data[[#This Row],[XAUUSD_Close]]/Merged_data!C190-1, "")</f>
        <v>-1.5359456985554298E-2</v>
      </c>
      <c r="D191" s="4">
        <f>IFERROR(Merged_data[[#This Row],[AAPL_Close]]/Merged_data!B190-1,"")</f>
        <v>-1.0507880910682998E-2</v>
      </c>
      <c r="E191" s="18">
        <f t="shared" si="10"/>
        <v>-1.0018098121015962E-2</v>
      </c>
      <c r="F191" s="19">
        <f t="shared" si="11"/>
        <v>10018.098121015963</v>
      </c>
      <c r="G191" t="b">
        <f t="shared" si="12"/>
        <v>0</v>
      </c>
      <c r="H191" t="b">
        <f t="shared" si="13"/>
        <v>0</v>
      </c>
      <c r="I191" t="b">
        <f t="shared" ca="1" si="14"/>
        <v>0</v>
      </c>
    </row>
    <row r="192" spans="1:9" x14ac:dyDescent="0.25">
      <c r="A192" s="1">
        <v>45869</v>
      </c>
      <c r="B192" s="4">
        <f>IFERROR(Merged_data[[#This Row],[BTCUSD_Close]]/Merged_data!D191-1,"")</f>
        <v>-6.5635255508673662E-3</v>
      </c>
      <c r="C192" s="4">
        <f>IFERROR(Merged_data[[#This Row],[XAUUSD_Close]]/Merged_data!C191-1, "")</f>
        <v>4.416092711996944E-3</v>
      </c>
      <c r="D192" s="4">
        <f>IFERROR(Merged_data[[#This Row],[AAPL_Close]]/Merged_data!B191-1,"")</f>
        <v>-7.0796460176991705E-3</v>
      </c>
      <c r="E192" s="18">
        <f t="shared" si="10"/>
        <v>-2.3265143857711832E-3</v>
      </c>
      <c r="F192" s="19">
        <f t="shared" si="11"/>
        <v>2326.5143857711832</v>
      </c>
      <c r="G192" t="b">
        <f t="shared" si="12"/>
        <v>0</v>
      </c>
      <c r="H192" t="b">
        <f t="shared" si="13"/>
        <v>0</v>
      </c>
      <c r="I192" t="b">
        <f t="shared" ca="1" si="14"/>
        <v>0</v>
      </c>
    </row>
    <row r="193" spans="1:9" x14ac:dyDescent="0.25">
      <c r="A193" s="1">
        <v>45870</v>
      </c>
      <c r="B193" s="4">
        <f>IFERROR(Merged_data[[#This Row],[BTCUSD_Close]]/Merged_data!D192-1,"")</f>
        <v>-2.7929126088635292E-2</v>
      </c>
      <c r="C193" s="4">
        <f>IFERROR(Merged_data[[#This Row],[XAUUSD_Close]]/Merged_data!C192-1, "")</f>
        <v>2.039826929302091E-2</v>
      </c>
      <c r="D193" s="4">
        <f>IFERROR(Merged_data[[#This Row],[AAPL_Close]]/Merged_data!B192-1,"")</f>
        <v>-2.5003613238907318E-2</v>
      </c>
      <c r="E193" s="18">
        <f t="shared" si="10"/>
        <v>-7.720514081054417E-3</v>
      </c>
      <c r="F193" s="19">
        <f t="shared" si="11"/>
        <v>7720.5140810544171</v>
      </c>
      <c r="G193" t="b">
        <f t="shared" si="12"/>
        <v>0</v>
      </c>
      <c r="H193" t="b">
        <f t="shared" si="13"/>
        <v>0</v>
      </c>
      <c r="I193" t="b">
        <f t="shared" ca="1" si="14"/>
        <v>0</v>
      </c>
    </row>
    <row r="194" spans="1:9" x14ac:dyDescent="0.25">
      <c r="A194" s="1">
        <v>45873</v>
      </c>
      <c r="B194" s="4">
        <f>IFERROR(Merged_data[[#This Row],[BTCUSD_Close]]/Merged_data!D193-1,"")</f>
        <v>1.6020831494394816E-2</v>
      </c>
      <c r="C194" s="4">
        <f>IFERROR(Merged_data[[#This Row],[XAUUSD_Close]]/Merged_data!C193-1, "")</f>
        <v>4.9477301059397405E-3</v>
      </c>
      <c r="D194" s="4">
        <f>IFERROR(Merged_data[[#This Row],[AAPL_Close]]/Merged_data!B193-1,"")</f>
        <v>4.792963731593991E-3</v>
      </c>
      <c r="E194" s="18">
        <f t="shared" si="10"/>
        <v>8.2232306101725373E-3</v>
      </c>
      <c r="F194" s="19">
        <f t="shared" si="11"/>
        <v>8223.2306101725371</v>
      </c>
      <c r="G194" t="b">
        <f t="shared" si="12"/>
        <v>0</v>
      </c>
      <c r="H194" t="b">
        <f t="shared" si="13"/>
        <v>0</v>
      </c>
      <c r="I194" t="b">
        <f t="shared" ca="1" si="14"/>
        <v>0</v>
      </c>
    </row>
    <row r="195" spans="1:9" x14ac:dyDescent="0.25">
      <c r="A195" s="1">
        <v>45874</v>
      </c>
      <c r="B195" s="4">
        <f>IFERROR(Merged_data[[#This Row],[BTCUSD_Close]]/Merged_data!D194-1,"")</f>
        <v>-1.3022892141957398E-2</v>
      </c>
      <c r="C195" s="4">
        <f>IFERROR(Merged_data[[#This Row],[XAUUSD_Close]]/Merged_data!C194-1, "")</f>
        <v>2.1311881151435674E-3</v>
      </c>
      <c r="D195" s="4">
        <f>IFERROR(Merged_data[[#This Row],[AAPL_Close]]/Merged_data!B194-1,"")</f>
        <v>-2.1145807720679421E-3</v>
      </c>
      <c r="E195" s="18">
        <f t="shared" si="10"/>
        <v>-3.6887666281501747E-3</v>
      </c>
      <c r="F195" s="19">
        <f t="shared" si="11"/>
        <v>3688.7666281501747</v>
      </c>
      <c r="G195" t="b">
        <f t="shared" si="12"/>
        <v>0</v>
      </c>
      <c r="H195" t="b">
        <f t="shared" si="13"/>
        <v>0</v>
      </c>
      <c r="I195" t="b">
        <f t="shared" ca="1" si="14"/>
        <v>0</v>
      </c>
    </row>
    <row r="196" spans="1:9" x14ac:dyDescent="0.25">
      <c r="A196" s="1">
        <v>45875</v>
      </c>
      <c r="B196" s="4">
        <f>IFERROR(Merged_data[[#This Row],[BTCUSD_Close]]/Merged_data!D195-1,"")</f>
        <v>1.3001073886942605E-2</v>
      </c>
      <c r="C196" s="4">
        <f>IFERROR(Merged_data[[#This Row],[XAUUSD_Close]]/Merged_data!C195-1, "")</f>
        <v>-3.410339569847709E-3</v>
      </c>
      <c r="D196" s="4">
        <f>IFERROR(Merged_data[[#This Row],[AAPL_Close]]/Merged_data!B195-1,"")</f>
        <v>5.0906761285235635E-2</v>
      </c>
      <c r="E196" s="18">
        <f t="shared" ref="E196:E251" si="15">SUMPRODUCT(B196:D196,$K$2:$M$2)</f>
        <v>1.7808214723714386E-2</v>
      </c>
      <c r="F196" s="19">
        <f t="shared" ref="F196:F251" si="16">ABS(E196*$K$5)</f>
        <v>17808.214723714387</v>
      </c>
      <c r="G196" t="b">
        <f t="shared" ref="G196:G251" si="17">F196&gt;$K$8</f>
        <v>0</v>
      </c>
      <c r="H196" t="b">
        <f t="shared" ref="H196:H251" si="18">F196&gt;$K$9</f>
        <v>0</v>
      </c>
      <c r="I196" t="b">
        <f t="shared" ref="I196:I251" ca="1" si="19">F196&gt;$K$10</f>
        <v>0</v>
      </c>
    </row>
    <row r="197" spans="1:9" x14ac:dyDescent="0.25">
      <c r="A197" s="1">
        <v>45876</v>
      </c>
      <c r="B197" s="4">
        <f>IFERROR(Merged_data[[#This Row],[BTCUSD_Close]]/Merged_data!D196-1,"")</f>
        <v>1.7978328684514544E-2</v>
      </c>
      <c r="C197" s="4">
        <f>IFERROR(Merged_data[[#This Row],[XAUUSD_Close]]/Merged_data!C196-1, "")</f>
        <v>8.4333398132883097E-3</v>
      </c>
      <c r="D197" s="4">
        <f>IFERROR(Merged_data[[#This Row],[AAPL_Close]]/Merged_data!B196-1,"")</f>
        <v>3.1793669402110147E-2</v>
      </c>
      <c r="E197" s="18">
        <f t="shared" si="15"/>
        <v>1.8304935351302731E-2</v>
      </c>
      <c r="F197" s="19">
        <f t="shared" si="16"/>
        <v>18304.935351302731</v>
      </c>
      <c r="G197" t="b">
        <f t="shared" si="17"/>
        <v>0</v>
      </c>
      <c r="H197" t="b">
        <f t="shared" si="18"/>
        <v>0</v>
      </c>
      <c r="I197" t="b">
        <f t="shared" ca="1" si="19"/>
        <v>0</v>
      </c>
    </row>
    <row r="198" spans="1:9" x14ac:dyDescent="0.25">
      <c r="A198" s="1">
        <v>45877</v>
      </c>
      <c r="B198" s="4">
        <f>IFERROR(Merged_data[[#This Row],[BTCUSD_Close]]/Merged_data!D197-1,"")</f>
        <v>-5.710529909860651E-3</v>
      </c>
      <c r="C198" s="4">
        <f>IFERROR(Merged_data[[#This Row],[XAUUSD_Close]]/Merged_data!C197-1, "")</f>
        <v>2.1337461518999845E-4</v>
      </c>
      <c r="D198" s="4">
        <f>IFERROR(Merged_data[[#This Row],[AAPL_Close]]/Merged_data!B197-1,"")</f>
        <v>4.235786029177846E-2</v>
      </c>
      <c r="E198" s="18">
        <f t="shared" si="15"/>
        <v>1.1079548960651341E-2</v>
      </c>
      <c r="F198" s="19">
        <f t="shared" si="16"/>
        <v>11079.548960651342</v>
      </c>
      <c r="G198" t="b">
        <f t="shared" si="17"/>
        <v>0</v>
      </c>
      <c r="H198" t="b">
        <f t="shared" si="18"/>
        <v>0</v>
      </c>
      <c r="I198" t="b">
        <f t="shared" ca="1" si="19"/>
        <v>0</v>
      </c>
    </row>
    <row r="199" spans="1:9" x14ac:dyDescent="0.25">
      <c r="A199" s="1">
        <v>45880</v>
      </c>
      <c r="B199" s="4">
        <f>IFERROR(Merged_data[[#This Row],[BTCUSD_Close]]/Merged_data!D198-1,"")</f>
        <v>1.9238858889280008E-2</v>
      </c>
      <c r="C199" s="4">
        <f>IFERROR(Merged_data[[#This Row],[XAUUSD_Close]]/Merged_data!C198-1, "")</f>
        <v>-1.6442523992167168E-2</v>
      </c>
      <c r="D199" s="4">
        <f>IFERROR(Merged_data[[#This Row],[AAPL_Close]]/Merged_data!B198-1,"")</f>
        <v>-9.4615216917374179E-3</v>
      </c>
      <c r="E199" s="18">
        <f t="shared" si="15"/>
        <v>-3.6438084376040902E-3</v>
      </c>
      <c r="F199" s="19">
        <f t="shared" si="16"/>
        <v>3643.8084376040902</v>
      </c>
      <c r="G199" t="b">
        <f t="shared" si="17"/>
        <v>0</v>
      </c>
      <c r="H199" t="b">
        <f t="shared" si="18"/>
        <v>0</v>
      </c>
      <c r="I199" t="b">
        <f t="shared" ca="1" si="19"/>
        <v>0</v>
      </c>
    </row>
    <row r="200" spans="1:9" x14ac:dyDescent="0.25">
      <c r="A200" s="1">
        <v>45881</v>
      </c>
      <c r="B200" s="4">
        <f>IFERROR(Merged_data[[#This Row],[BTCUSD_Close]]/Merged_data!D199-1,"")</f>
        <v>9.9305953303459038E-3</v>
      </c>
      <c r="C200" s="4">
        <f>IFERROR(Merged_data[[#This Row],[XAUUSD_Close]]/Merged_data!C199-1, "")</f>
        <v>1.6693466960846504E-3</v>
      </c>
      <c r="D200" s="4">
        <f>IFERROR(Merged_data[[#This Row],[AAPL_Close]]/Merged_data!B199-1,"")</f>
        <v>1.0872435953869219E-2</v>
      </c>
      <c r="E200" s="18">
        <f t="shared" si="15"/>
        <v>6.9086480636983971E-3</v>
      </c>
      <c r="F200" s="19">
        <f t="shared" si="16"/>
        <v>6908.648063698397</v>
      </c>
      <c r="G200" t="b">
        <f t="shared" si="17"/>
        <v>0</v>
      </c>
      <c r="H200" t="b">
        <f t="shared" si="18"/>
        <v>0</v>
      </c>
      <c r="I200" t="b">
        <f t="shared" ca="1" si="19"/>
        <v>0</v>
      </c>
    </row>
    <row r="201" spans="1:9" x14ac:dyDescent="0.25">
      <c r="A201" s="1">
        <v>45882</v>
      </c>
      <c r="B201" s="4">
        <f>IFERROR(Merged_data[[#This Row],[BTCUSD_Close]]/Merged_data!D200-1,"")</f>
        <v>2.2318040416002827E-2</v>
      </c>
      <c r="C201" s="4">
        <f>IFERROR(Merged_data[[#This Row],[XAUUSD_Close]]/Merged_data!C200-1, "")</f>
        <v>2.326619785825601E-3</v>
      </c>
      <c r="D201" s="4">
        <f>IFERROR(Merged_data[[#This Row],[AAPL_Close]]/Merged_data!B200-1,"")</f>
        <v>1.6024384933594593E-2</v>
      </c>
      <c r="E201" s="18">
        <f t="shared" si="15"/>
        <v>1.2433375519209467E-2</v>
      </c>
      <c r="F201" s="19">
        <f t="shared" si="16"/>
        <v>12433.375519209467</v>
      </c>
      <c r="G201" t="b">
        <f t="shared" si="17"/>
        <v>0</v>
      </c>
      <c r="H201" t="b">
        <f t="shared" si="18"/>
        <v>0</v>
      </c>
      <c r="I201" t="b">
        <f t="shared" ca="1" si="19"/>
        <v>0</v>
      </c>
    </row>
    <row r="202" spans="1:9" x14ac:dyDescent="0.25">
      <c r="A202" s="1">
        <v>45883</v>
      </c>
      <c r="B202" s="4">
        <f>IFERROR(Merged_data[[#This Row],[BTCUSD_Close]]/Merged_data!D201-1,"")</f>
        <v>-3.7526819438892467E-2</v>
      </c>
      <c r="C202" s="4">
        <f>IFERROR(Merged_data[[#This Row],[XAUUSD_Close]]/Merged_data!C201-1, "")</f>
        <v>-6.0965525872357373E-3</v>
      </c>
      <c r="D202" s="4">
        <f>IFERROR(Merged_data[[#This Row],[AAPL_Close]]/Merged_data!B201-1,"")</f>
        <v>-2.3571765310933523E-3</v>
      </c>
      <c r="E202" s="18">
        <f t="shared" si="15"/>
        <v>-1.4403819825890039E-2</v>
      </c>
      <c r="F202" s="19">
        <f t="shared" si="16"/>
        <v>14403.819825890039</v>
      </c>
      <c r="G202" t="b">
        <f t="shared" si="17"/>
        <v>0</v>
      </c>
      <c r="H202" t="b">
        <f t="shared" si="18"/>
        <v>0</v>
      </c>
      <c r="I202" t="b">
        <f t="shared" ca="1" si="19"/>
        <v>0</v>
      </c>
    </row>
    <row r="203" spans="1:9" x14ac:dyDescent="0.25">
      <c r="A203" s="1">
        <v>45884</v>
      </c>
      <c r="B203" s="4">
        <f>IFERROR(Merged_data[[#This Row],[BTCUSD_Close]]/Merged_data!D202-1,"")</f>
        <v>-8.5184651505776365E-3</v>
      </c>
      <c r="C203" s="4">
        <f>IFERROR(Merged_data[[#This Row],[XAUUSD_Close]]/Merged_data!C202-1, "")</f>
        <v>1.0792871308502594E-3</v>
      </c>
      <c r="D203" s="4">
        <f>IFERROR(Merged_data[[#This Row],[AAPL_Close]]/Merged_data!B202-1,"")</f>
        <v>-5.112123034624938E-3</v>
      </c>
      <c r="E203" s="18">
        <f t="shared" si="15"/>
        <v>-3.6574616032206686E-3</v>
      </c>
      <c r="F203" s="19">
        <f t="shared" si="16"/>
        <v>3657.4616032206686</v>
      </c>
      <c r="G203" t="b">
        <f t="shared" si="17"/>
        <v>0</v>
      </c>
      <c r="H203" t="b">
        <f t="shared" si="18"/>
        <v>0</v>
      </c>
      <c r="I203" t="b">
        <f t="shared" ca="1" si="19"/>
        <v>0</v>
      </c>
    </row>
    <row r="204" spans="1:9" x14ac:dyDescent="0.25">
      <c r="A204" s="1">
        <v>45887</v>
      </c>
      <c r="B204" s="4">
        <f>IFERROR(Merged_data[[#This Row],[BTCUSD_Close]]/Merged_data!D203-1,"")</f>
        <v>-2.1799716176243988E-3</v>
      </c>
      <c r="C204" s="4">
        <f>IFERROR(Merged_data[[#This Row],[XAUUSD_Close]]/Merged_data!C203-1, "")</f>
        <v>-1.8627578699275116E-3</v>
      </c>
      <c r="D204" s="4">
        <f>IFERROR(Merged_data[[#This Row],[AAPL_Close]]/Merged_data!B203-1,"")</f>
        <v>-3.0225830130835574E-3</v>
      </c>
      <c r="E204" s="18">
        <f t="shared" si="15"/>
        <v>-2.3058695371833914E-3</v>
      </c>
      <c r="F204" s="19">
        <f t="shared" si="16"/>
        <v>2305.8695371833915</v>
      </c>
      <c r="G204" t="b">
        <f t="shared" si="17"/>
        <v>0</v>
      </c>
      <c r="H204" t="b">
        <f t="shared" si="18"/>
        <v>0</v>
      </c>
      <c r="I204" t="b">
        <f t="shared" ca="1" si="19"/>
        <v>0</v>
      </c>
    </row>
    <row r="205" spans="1:9" x14ac:dyDescent="0.25">
      <c r="A205" s="1">
        <v>45888</v>
      </c>
      <c r="B205" s="4">
        <f>IFERROR(Merged_data[[#This Row],[BTCUSD_Close]]/Merged_data!D204-1,"")</f>
        <v>-2.8178788372073105E-2</v>
      </c>
      <c r="C205" s="4">
        <f>IFERROR(Merged_data[[#This Row],[XAUUSD_Close]]/Merged_data!C204-1, "")</f>
        <v>-5.1051406951572176E-3</v>
      </c>
      <c r="D205" s="4">
        <f>IFERROR(Merged_data[[#This Row],[AAPL_Close]]/Merged_data!B204-1,"")</f>
        <v>-1.4292520247736196E-3</v>
      </c>
      <c r="E205" s="18">
        <f t="shared" si="15"/>
        <v>-1.0924468397116905E-2</v>
      </c>
      <c r="F205" s="19">
        <f t="shared" si="16"/>
        <v>10924.468397116905</v>
      </c>
      <c r="G205" t="b">
        <f t="shared" si="17"/>
        <v>0</v>
      </c>
      <c r="H205" t="b">
        <f t="shared" si="18"/>
        <v>0</v>
      </c>
      <c r="I205" t="b">
        <f t="shared" ca="1" si="19"/>
        <v>0</v>
      </c>
    </row>
    <row r="206" spans="1:9" x14ac:dyDescent="0.25">
      <c r="A206" s="1">
        <v>45889</v>
      </c>
      <c r="B206" s="4">
        <f>IFERROR(Merged_data[[#This Row],[BTCUSD_Close]]/Merged_data!D205-1,"")</f>
        <v>8.4633694789737479E-3</v>
      </c>
      <c r="C206" s="4">
        <f>IFERROR(Merged_data[[#This Row],[XAUUSD_Close]]/Merged_data!C205-1, "")</f>
        <v>9.8359419765372547E-3</v>
      </c>
      <c r="D206" s="4">
        <f>IFERROR(Merged_data[[#This Row],[AAPL_Close]]/Merged_data!B205-1,"")</f>
        <v>-1.9734559333795976E-2</v>
      </c>
      <c r="E206" s="18">
        <f t="shared" si="15"/>
        <v>5.5301983416823457E-4</v>
      </c>
      <c r="F206" s="19">
        <f t="shared" si="16"/>
        <v>553.01983416823452</v>
      </c>
      <c r="G206" t="b">
        <f t="shared" si="17"/>
        <v>0</v>
      </c>
      <c r="H206" t="b">
        <f t="shared" si="18"/>
        <v>0</v>
      </c>
      <c r="I206" t="b">
        <f t="shared" ca="1" si="19"/>
        <v>0</v>
      </c>
    </row>
    <row r="207" spans="1:9" x14ac:dyDescent="0.25">
      <c r="A207" s="1">
        <v>45890</v>
      </c>
      <c r="B207" s="4">
        <f>IFERROR(Merged_data[[#This Row],[BTCUSD_Close]]/Merged_data!D206-1,"")</f>
        <v>-1.548212256316106E-2</v>
      </c>
      <c r="C207" s="4">
        <f>IFERROR(Merged_data[[#This Row],[XAUUSD_Close]]/Merged_data!C206-1, "")</f>
        <v>-2.8191601351643669E-3</v>
      </c>
      <c r="D207" s="4">
        <f>IFERROR(Merged_data[[#This Row],[AAPL_Close]]/Merged_data!B206-1,"")</f>
        <v>-4.9112871111897105E-3</v>
      </c>
      <c r="E207" s="18">
        <f t="shared" si="15"/>
        <v>-7.2456869563709784E-3</v>
      </c>
      <c r="F207" s="19">
        <f t="shared" si="16"/>
        <v>7245.6869563709788</v>
      </c>
      <c r="G207" t="b">
        <f t="shared" si="17"/>
        <v>0</v>
      </c>
      <c r="H207" t="b">
        <f t="shared" si="18"/>
        <v>0</v>
      </c>
      <c r="I207" t="b">
        <f t="shared" ca="1" si="19"/>
        <v>0</v>
      </c>
    </row>
    <row r="208" spans="1:9" x14ac:dyDescent="0.25">
      <c r="A208" s="1">
        <v>45891</v>
      </c>
      <c r="B208" s="4">
        <f>IFERROR(Merged_data[[#This Row],[BTCUSD_Close]]/Merged_data!D207-1,"")</f>
        <v>3.5500226427157111E-2</v>
      </c>
      <c r="C208" s="4">
        <f>IFERROR(Merged_data[[#This Row],[XAUUSD_Close]]/Merged_data!C207-1, "")</f>
        <v>1.0230378173596177E-2</v>
      </c>
      <c r="D208" s="4">
        <f>IFERROR(Merged_data[[#This Row],[AAPL_Close]]/Merged_data!B207-1,"")</f>
        <v>1.2716763005780285E-2</v>
      </c>
      <c r="E208" s="18">
        <f t="shared" si="15"/>
        <v>1.855724809931969E-2</v>
      </c>
      <c r="F208" s="19">
        <f t="shared" si="16"/>
        <v>18557.248099319691</v>
      </c>
      <c r="G208" t="b">
        <f t="shared" si="17"/>
        <v>0</v>
      </c>
      <c r="H208" t="b">
        <f t="shared" si="18"/>
        <v>0</v>
      </c>
      <c r="I208" t="b">
        <f t="shared" ca="1" si="19"/>
        <v>0</v>
      </c>
    </row>
    <row r="209" spans="1:9" x14ac:dyDescent="0.25">
      <c r="A209" s="1">
        <v>45894</v>
      </c>
      <c r="B209" s="4">
        <f>IFERROR(Merged_data[[#This Row],[BTCUSD_Close]]/Merged_data!D208-1,"")</f>
        <v>-5.7607381428093629E-2</v>
      </c>
      <c r="C209" s="4">
        <f>IFERROR(Merged_data[[#This Row],[XAUUSD_Close]]/Merged_data!C208-1, "")</f>
        <v>-2.2115269170396301E-3</v>
      </c>
      <c r="D209" s="4">
        <f>IFERROR(Merged_data[[#This Row],[AAPL_Close]]/Merged_data!B208-1,"")</f>
        <v>-2.6343519494204104E-3</v>
      </c>
      <c r="E209" s="18">
        <f t="shared" si="15"/>
        <v>-1.8957130780070063E-2</v>
      </c>
      <c r="F209" s="19">
        <f t="shared" si="16"/>
        <v>18957.130780070063</v>
      </c>
      <c r="G209" t="b">
        <f t="shared" si="17"/>
        <v>0</v>
      </c>
      <c r="H209" t="b">
        <f t="shared" si="18"/>
        <v>0</v>
      </c>
      <c r="I209" t="b">
        <f t="shared" ca="1" si="19"/>
        <v>0</v>
      </c>
    </row>
    <row r="210" spans="1:9" x14ac:dyDescent="0.25">
      <c r="A210" s="1">
        <v>45895</v>
      </c>
      <c r="B210" s="4">
        <f>IFERROR(Merged_data[[#This Row],[BTCUSD_Close]]/Merged_data!D209-1,"")</f>
        <v>1.5541542689196497E-2</v>
      </c>
      <c r="C210" s="4">
        <f>IFERROR(Merged_data[[#This Row],[XAUUSD_Close]]/Merged_data!C209-1, "")</f>
        <v>8.2922952366095704E-3</v>
      </c>
      <c r="D210" s="4">
        <f>IFERROR(Merged_data[[#This Row],[AAPL_Close]]/Merged_data!B209-1,"")</f>
        <v>9.4646944884662076E-3</v>
      </c>
      <c r="E210" s="18">
        <f t="shared" si="15"/>
        <v>1.0818789247942639E-2</v>
      </c>
      <c r="F210" s="19">
        <f t="shared" si="16"/>
        <v>10818.789247942639</v>
      </c>
      <c r="G210" t="b">
        <f t="shared" si="17"/>
        <v>0</v>
      </c>
      <c r="H210" t="b">
        <f t="shared" si="18"/>
        <v>0</v>
      </c>
      <c r="I210" t="b">
        <f t="shared" ca="1" si="19"/>
        <v>0</v>
      </c>
    </row>
    <row r="211" spans="1:9" x14ac:dyDescent="0.25">
      <c r="A211" s="1">
        <v>45896</v>
      </c>
      <c r="B211" s="4">
        <f>IFERROR(Merged_data[[#This Row],[BTCUSD_Close]]/Merged_data!D210-1,"")</f>
        <v>-5.1968066519125777E-4</v>
      </c>
      <c r="C211" s="4">
        <f>IFERROR(Merged_data[[#This Row],[XAUUSD_Close]]/Merged_data!C210-1, "")</f>
        <v>1.1167801372253816E-3</v>
      </c>
      <c r="D211" s="4">
        <f>IFERROR(Merged_data[[#This Row],[AAPL_Close]]/Merged_data!B210-1,"")</f>
        <v>5.1458723998081268E-3</v>
      </c>
      <c r="E211" s="18">
        <f t="shared" si="15"/>
        <v>1.8345695752752132E-3</v>
      </c>
      <c r="F211" s="19">
        <f t="shared" si="16"/>
        <v>1834.5695752752131</v>
      </c>
      <c r="G211" t="b">
        <f t="shared" si="17"/>
        <v>0</v>
      </c>
      <c r="H211" t="b">
        <f t="shared" si="18"/>
        <v>0</v>
      </c>
      <c r="I211" t="b">
        <f t="shared" ca="1" si="19"/>
        <v>0</v>
      </c>
    </row>
    <row r="212" spans="1:9" x14ac:dyDescent="0.25">
      <c r="A212" s="1">
        <v>45897</v>
      </c>
      <c r="B212" s="4">
        <f>IFERROR(Merged_data[[#This Row],[BTCUSD_Close]]/Merged_data!D211-1,"")</f>
        <v>4.464405776833491E-3</v>
      </c>
      <c r="C212" s="4">
        <f>IFERROR(Merged_data[[#This Row],[XAUUSD_Close]]/Merged_data!C211-1, "")</f>
        <v>5.6335955378625791E-3</v>
      </c>
      <c r="D212" s="4">
        <f>IFERROR(Merged_data[[#This Row],[AAPL_Close]]/Merged_data!B211-1,"")</f>
        <v>8.9808668488871035E-3</v>
      </c>
      <c r="E212" s="18">
        <f t="shared" si="15"/>
        <v>6.2870200028612103E-3</v>
      </c>
      <c r="F212" s="19">
        <f t="shared" si="16"/>
        <v>6287.0200028612107</v>
      </c>
      <c r="G212" t="b">
        <f t="shared" si="17"/>
        <v>0</v>
      </c>
      <c r="H212" t="b">
        <f t="shared" si="18"/>
        <v>0</v>
      </c>
      <c r="I212" t="b">
        <f t="shared" ca="1" si="19"/>
        <v>0</v>
      </c>
    </row>
    <row r="213" spans="1:9" x14ac:dyDescent="0.25">
      <c r="A213" s="1">
        <v>45898</v>
      </c>
      <c r="B213" s="4">
        <f>IFERROR(Merged_data[[#This Row],[BTCUSD_Close]]/Merged_data!D212-1,"")</f>
        <v>-3.4351656001499364E-2</v>
      </c>
      <c r="C213" s="4">
        <f>IFERROR(Merged_data[[#This Row],[XAUUSD_Close]]/Merged_data!C212-1, "")</f>
        <v>1.0460645990256534E-2</v>
      </c>
      <c r="D213" s="4">
        <f>IFERROR(Merged_data[[#This Row],[AAPL_Close]]/Merged_data!B212-1,"")</f>
        <v>-1.8059855521156409E-3</v>
      </c>
      <c r="E213" s="18">
        <f t="shared" si="15"/>
        <v>-6.6630340699818883E-3</v>
      </c>
      <c r="F213" s="19">
        <f t="shared" si="16"/>
        <v>6663.034069981888</v>
      </c>
      <c r="G213" t="b">
        <f t="shared" si="17"/>
        <v>0</v>
      </c>
      <c r="H213" t="b">
        <f t="shared" si="18"/>
        <v>0</v>
      </c>
      <c r="I213" t="b">
        <f t="shared" ca="1" si="19"/>
        <v>0</v>
      </c>
    </row>
    <row r="214" spans="1:9" x14ac:dyDescent="0.25">
      <c r="A214" s="1">
        <v>45902</v>
      </c>
      <c r="B214" s="4">
        <f>IFERROR(Merged_data[[#This Row],[BTCUSD_Close]]/Merged_data!D213-1,"")</f>
        <v>2.7726945045194906E-2</v>
      </c>
      <c r="C214" s="4">
        <f>IFERROR(Merged_data[[#This Row],[XAUUSD_Close]]/Merged_data!C213-1, "")</f>
        <v>2.3395624146415939E-2</v>
      </c>
      <c r="D214" s="4">
        <f>IFERROR(Merged_data[[#This Row],[AAPL_Close]]/Merged_data!B213-1,"")</f>
        <v>-1.0424743689153027E-2</v>
      </c>
      <c r="E214" s="18">
        <f t="shared" si="15"/>
        <v>1.454891006537894E-2</v>
      </c>
      <c r="F214" s="19">
        <f t="shared" si="16"/>
        <v>14548.910065378939</v>
      </c>
      <c r="G214" t="b">
        <f t="shared" si="17"/>
        <v>0</v>
      </c>
      <c r="H214" t="b">
        <f t="shared" si="18"/>
        <v>0</v>
      </c>
      <c r="I214" t="b">
        <f t="shared" ca="1" si="19"/>
        <v>0</v>
      </c>
    </row>
    <row r="215" spans="1:9" x14ac:dyDescent="0.25">
      <c r="A215" s="1">
        <v>45903</v>
      </c>
      <c r="B215" s="4">
        <f>IFERROR(Merged_data[[#This Row],[BTCUSD_Close]]/Merged_data!D214-1,"")</f>
        <v>7.518120829511421E-3</v>
      </c>
      <c r="C215" s="4">
        <f>IFERROR(Merged_data[[#This Row],[XAUUSD_Close]]/Merged_data!C214-1, "")</f>
        <v>7.4947815319299504E-3</v>
      </c>
      <c r="D215" s="4">
        <f>IFERROR(Merged_data[[#This Row],[AAPL_Close]]/Merged_data!B214-1,"")</f>
        <v>3.8089848511231095E-2</v>
      </c>
      <c r="E215" s="18">
        <f t="shared" si="15"/>
        <v>1.6680303414994734E-2</v>
      </c>
      <c r="F215" s="19">
        <f t="shared" si="16"/>
        <v>16680.303414994734</v>
      </c>
      <c r="G215" t="b">
        <f t="shared" si="17"/>
        <v>0</v>
      </c>
      <c r="H215" t="b">
        <f t="shared" si="18"/>
        <v>0</v>
      </c>
      <c r="I215" t="b">
        <f t="shared" ca="1" si="19"/>
        <v>0</v>
      </c>
    </row>
    <row r="216" spans="1:9" x14ac:dyDescent="0.25">
      <c r="A216" s="1">
        <v>45904</v>
      </c>
      <c r="B216" s="4">
        <f>IFERROR(Merged_data[[#This Row],[BTCUSD_Close]]/Merged_data!D215-1,"")</f>
        <v>-1.3495903029437484E-2</v>
      </c>
      <c r="C216" s="4">
        <f>IFERROR(Merged_data[[#This Row],[XAUUSD_Close]]/Merged_data!C215-1, "")</f>
        <v>-3.8346951417362884E-3</v>
      </c>
      <c r="D216" s="4">
        <f>IFERROR(Merged_data[[#This Row],[AAPL_Close]]/Merged_data!B215-1,"")</f>
        <v>5.4933534616514734E-3</v>
      </c>
      <c r="E216" s="18">
        <f t="shared" si="15"/>
        <v>-3.9346429270303183E-3</v>
      </c>
      <c r="F216" s="19">
        <f t="shared" si="16"/>
        <v>3934.6429270303183</v>
      </c>
      <c r="G216" t="b">
        <f t="shared" si="17"/>
        <v>0</v>
      </c>
      <c r="H216" t="b">
        <f t="shared" si="18"/>
        <v>0</v>
      </c>
      <c r="I216" t="b">
        <f t="shared" ca="1" si="19"/>
        <v>0</v>
      </c>
    </row>
    <row r="217" spans="1:9" x14ac:dyDescent="0.25">
      <c r="A217" s="1">
        <v>45905</v>
      </c>
      <c r="B217" s="4">
        <f>IFERROR(Merged_data[[#This Row],[BTCUSD_Close]]/Merged_data!D216-1,"")</f>
        <v>1.0504695897649352E-2</v>
      </c>
      <c r="C217" s="4">
        <f>IFERROR(Merged_data[[#This Row],[XAUUSD_Close]]/Merged_data!C216-1, "")</f>
        <v>1.3742419179036292E-2</v>
      </c>
      <c r="D217" s="4">
        <f>IFERROR(Merged_data[[#This Row],[AAPL_Close]]/Merged_data!B216-1,"")</f>
        <v>-3.7534406539330156E-4</v>
      </c>
      <c r="E217" s="18">
        <f t="shared" si="15"/>
        <v>8.5357732212913325E-3</v>
      </c>
      <c r="F217" s="19">
        <f t="shared" si="16"/>
        <v>8535.7732212913324</v>
      </c>
      <c r="G217" t="b">
        <f t="shared" si="17"/>
        <v>0</v>
      </c>
      <c r="H217" t="b">
        <f t="shared" si="18"/>
        <v>0</v>
      </c>
      <c r="I217" t="b">
        <f t="shared" ca="1" si="19"/>
        <v>0</v>
      </c>
    </row>
    <row r="218" spans="1:9" x14ac:dyDescent="0.25">
      <c r="A218" s="1">
        <v>45908</v>
      </c>
      <c r="B218" s="4">
        <f>IFERROR(Merged_data[[#This Row],[BTCUSD_Close]]/Merged_data!D217-1,"")</f>
        <v>5.9543529453900401E-3</v>
      </c>
      <c r="C218" s="4">
        <f>IFERROR(Merged_data[[#This Row],[XAUUSD_Close]]/Merged_data!C217-1, "")</f>
        <v>1.1498921324121669E-2</v>
      </c>
      <c r="D218" s="4">
        <f>IFERROR(Merged_data[[#This Row],[AAPL_Close]]/Merged_data!B217-1,"")</f>
        <v>-7.5514205849221971E-3</v>
      </c>
      <c r="E218" s="18">
        <f t="shared" si="15"/>
        <v>4.1204482377890216E-3</v>
      </c>
      <c r="F218" s="19">
        <f t="shared" si="16"/>
        <v>4120.4482377890217</v>
      </c>
      <c r="G218" t="b">
        <f t="shared" si="17"/>
        <v>0</v>
      </c>
      <c r="H218" t="b">
        <f t="shared" si="18"/>
        <v>0</v>
      </c>
      <c r="I218" t="b">
        <f t="shared" ca="1" si="19"/>
        <v>0</v>
      </c>
    </row>
    <row r="219" spans="1:9" x14ac:dyDescent="0.25">
      <c r="A219" s="1">
        <v>45909</v>
      </c>
      <c r="B219" s="4">
        <f>IFERROR(Merged_data[[#This Row],[BTCUSD_Close]]/Merged_data!D218-1,"")</f>
        <v>-9.1323388044290965E-3</v>
      </c>
      <c r="C219" s="4">
        <f>IFERROR(Merged_data[[#This Row],[XAUUSD_Close]]/Merged_data!C218-1, "")</f>
        <v>-2.7530101594600564E-3</v>
      </c>
      <c r="D219" s="4">
        <f>IFERROR(Merged_data[[#This Row],[AAPL_Close]]/Merged_data!B218-1,"")</f>
        <v>-1.4839414831007258E-2</v>
      </c>
      <c r="E219" s="18">
        <f t="shared" si="15"/>
        <v>-8.2927301544149287E-3</v>
      </c>
      <c r="F219" s="19">
        <f t="shared" si="16"/>
        <v>8292.7301544149286</v>
      </c>
      <c r="G219" t="b">
        <f t="shared" si="17"/>
        <v>0</v>
      </c>
      <c r="H219" t="b">
        <f t="shared" si="18"/>
        <v>0</v>
      </c>
      <c r="I219" t="b">
        <f t="shared" ca="1" si="19"/>
        <v>0</v>
      </c>
    </row>
    <row r="220" spans="1:9" x14ac:dyDescent="0.25">
      <c r="A220" s="1">
        <v>45910</v>
      </c>
      <c r="B220" s="4">
        <f>IFERROR(Merged_data[[#This Row],[BTCUSD_Close]]/Merged_data!D219-1,"")</f>
        <v>2.2969404071073063E-2</v>
      </c>
      <c r="C220" s="4">
        <f>IFERROR(Merged_data[[#This Row],[XAUUSD_Close]]/Merged_data!C219-1, "")</f>
        <v>4.0526639474243176E-3</v>
      </c>
      <c r="D220" s="4">
        <f>IFERROR(Merged_data[[#This Row],[AAPL_Close]]/Merged_data!B219-1,"")</f>
        <v>-3.2259441007040812E-2</v>
      </c>
      <c r="E220" s="18">
        <f t="shared" si="15"/>
        <v>-1.1659455018205988E-3</v>
      </c>
      <c r="F220" s="19">
        <f t="shared" si="16"/>
        <v>1165.9455018205988</v>
      </c>
      <c r="G220" t="b">
        <f t="shared" si="17"/>
        <v>0</v>
      </c>
      <c r="H220" t="b">
        <f t="shared" si="18"/>
        <v>0</v>
      </c>
      <c r="I220" t="b">
        <f t="shared" ca="1" si="19"/>
        <v>0</v>
      </c>
    </row>
    <row r="221" spans="1:9" x14ac:dyDescent="0.25">
      <c r="A221" s="1">
        <v>45911</v>
      </c>
      <c r="B221" s="4">
        <f>IFERROR(Merged_data[[#This Row],[BTCUSD_Close]]/Merged_data!D220-1,"")</f>
        <v>5.7956251811133175E-3</v>
      </c>
      <c r="C221" s="4">
        <f>IFERROR(Merged_data[[#This Row],[XAUUSD_Close]]/Merged_data!C220-1, "")</f>
        <v>-1.8320627460890471E-3</v>
      </c>
      <c r="D221" s="4">
        <f>IFERROR(Merged_data[[#This Row],[AAPL_Close]]/Merged_data!B220-1,"")</f>
        <v>1.4286344195070466E-2</v>
      </c>
      <c r="E221" s="18">
        <f t="shared" si="15"/>
        <v>5.2917657144195161E-3</v>
      </c>
      <c r="F221" s="19">
        <f t="shared" si="16"/>
        <v>5291.7657144195164</v>
      </c>
      <c r="G221" t="b">
        <f t="shared" si="17"/>
        <v>0</v>
      </c>
      <c r="H221" t="b">
        <f t="shared" si="18"/>
        <v>0</v>
      </c>
      <c r="I221" t="b">
        <f t="shared" ca="1" si="19"/>
        <v>0</v>
      </c>
    </row>
    <row r="222" spans="1:9" x14ac:dyDescent="0.25">
      <c r="A222" s="1">
        <v>45912</v>
      </c>
      <c r="B222" s="4">
        <f>IFERROR(Merged_data[[#This Row],[BTCUSD_Close]]/Merged_data!D221-1,"")</f>
        <v>1.8098638891556496E-2</v>
      </c>
      <c r="C222" s="4">
        <f>IFERROR(Merged_data[[#This Row],[XAUUSD_Close]]/Merged_data!C221-1, "")</f>
        <v>2.7930385920884593E-3</v>
      </c>
      <c r="D222" s="4">
        <f>IFERROR(Merged_data[[#This Row],[AAPL_Close]]/Merged_data!B221-1,"")</f>
        <v>1.7562926574794524E-2</v>
      </c>
      <c r="E222" s="18">
        <f t="shared" si="15"/>
        <v>1.181568507674069E-2</v>
      </c>
      <c r="F222" s="19">
        <f t="shared" si="16"/>
        <v>11815.68507674069</v>
      </c>
      <c r="G222" t="b">
        <f t="shared" si="17"/>
        <v>0</v>
      </c>
      <c r="H222" t="b">
        <f t="shared" si="18"/>
        <v>0</v>
      </c>
      <c r="I222" t="b">
        <f t="shared" ca="1" si="19"/>
        <v>0</v>
      </c>
    </row>
    <row r="223" spans="1:9" x14ac:dyDescent="0.25">
      <c r="A223" s="1">
        <v>45915</v>
      </c>
      <c r="B223" s="4">
        <f>IFERROR(Merged_data[[#This Row],[BTCUSD_Close]]/Merged_data!D222-1,"")</f>
        <v>-9.0042191198161925E-3</v>
      </c>
      <c r="C223" s="4">
        <f>IFERROR(Merged_data[[#This Row],[XAUUSD_Close]]/Merged_data!C222-1, "")</f>
        <v>9.6208068470728936E-3</v>
      </c>
      <c r="D223" s="4">
        <f>IFERROR(Merged_data[[#This Row],[AAPL_Close]]/Merged_data!B222-1,"")</f>
        <v>1.1235955056179803E-2</v>
      </c>
      <c r="E223" s="18">
        <f t="shared" si="15"/>
        <v>4.5178435197382408E-3</v>
      </c>
      <c r="F223" s="19">
        <f t="shared" si="16"/>
        <v>4517.8435197382405</v>
      </c>
      <c r="G223" t="b">
        <f t="shared" si="17"/>
        <v>0</v>
      </c>
      <c r="H223" t="b">
        <f t="shared" si="18"/>
        <v>0</v>
      </c>
      <c r="I223" t="b">
        <f t="shared" ca="1" si="19"/>
        <v>0</v>
      </c>
    </row>
    <row r="224" spans="1:9" x14ac:dyDescent="0.25">
      <c r="A224" s="1">
        <v>45916</v>
      </c>
      <c r="B224" s="4">
        <f>IFERROR(Merged_data[[#This Row],[BTCUSD_Close]]/Merged_data!D223-1,"")</f>
        <v>1.1119572177705539E-2</v>
      </c>
      <c r="C224" s="4">
        <f>IFERROR(Merged_data[[#This Row],[XAUUSD_Close]]/Merged_data!C223-1, "")</f>
        <v>2.8701540669349157E-3</v>
      </c>
      <c r="D224" s="4">
        <f>IFERROR(Merged_data[[#This Row],[AAPL_Close]]/Merged_data!B223-1,"")</f>
        <v>6.1258977608789067E-3</v>
      </c>
      <c r="E224" s="18">
        <f t="shared" si="15"/>
        <v>6.3217026083493E-3</v>
      </c>
      <c r="F224" s="19">
        <f t="shared" si="16"/>
        <v>6321.7026083493001</v>
      </c>
      <c r="G224" t="b">
        <f t="shared" si="17"/>
        <v>0</v>
      </c>
      <c r="H224" t="b">
        <f t="shared" si="18"/>
        <v>0</v>
      </c>
      <c r="I224" t="b">
        <f t="shared" ca="1" si="19"/>
        <v>0</v>
      </c>
    </row>
    <row r="225" spans="1:9" x14ac:dyDescent="0.25">
      <c r="A225" s="1">
        <v>45917</v>
      </c>
      <c r="B225" s="4">
        <f>IFERROR(Merged_data[[#This Row],[BTCUSD_Close]]/Merged_data!D224-1,"")</f>
        <v>-6.4272082295651067E-3</v>
      </c>
      <c r="C225" s="4">
        <f>IFERROR(Merged_data[[#This Row],[XAUUSD_Close]]/Merged_data!C224-1, "")</f>
        <v>-8.1725186019314666E-3</v>
      </c>
      <c r="D225" s="4">
        <f>IFERROR(Merged_data[[#This Row],[AAPL_Close]]/Merged_data!B224-1,"")</f>
        <v>3.5271887465881946E-3</v>
      </c>
      <c r="E225" s="18">
        <f t="shared" si="15"/>
        <v>-4.1390132856656599E-3</v>
      </c>
      <c r="F225" s="19">
        <f t="shared" si="16"/>
        <v>4139.0132856656601</v>
      </c>
      <c r="G225" t="b">
        <f t="shared" si="17"/>
        <v>0</v>
      </c>
      <c r="H225" t="b">
        <f t="shared" si="18"/>
        <v>0</v>
      </c>
      <c r="I225" t="b">
        <f t="shared" ca="1" si="19"/>
        <v>0</v>
      </c>
    </row>
    <row r="226" spans="1:9" x14ac:dyDescent="0.25">
      <c r="A226" s="1">
        <v>45918</v>
      </c>
      <c r="B226" s="4">
        <f>IFERROR(Merged_data[[#This Row],[BTCUSD_Close]]/Merged_data!D225-1,"")</f>
        <v>1.0861700661521478E-2</v>
      </c>
      <c r="C226" s="4">
        <f>IFERROR(Merged_data[[#This Row],[XAUUSD_Close]]/Merged_data!C225-1, "")</f>
        <v>-4.1465713934393245E-3</v>
      </c>
      <c r="D226" s="4">
        <f>IFERROR(Merged_data[[#This Row],[AAPL_Close]]/Merged_data!B225-1,"")</f>
        <v>-4.6445457968953274E-3</v>
      </c>
      <c r="E226" s="18">
        <f t="shared" si="15"/>
        <v>2.0651790201211564E-4</v>
      </c>
      <c r="F226" s="19">
        <f t="shared" si="16"/>
        <v>206.51790201211563</v>
      </c>
      <c r="G226" t="b">
        <f t="shared" si="17"/>
        <v>0</v>
      </c>
      <c r="H226" t="b">
        <f t="shared" si="18"/>
        <v>0</v>
      </c>
      <c r="I226" t="b">
        <f t="shared" ca="1" si="19"/>
        <v>0</v>
      </c>
    </row>
    <row r="227" spans="1:9" x14ac:dyDescent="0.25">
      <c r="A227" s="1">
        <v>45919</v>
      </c>
      <c r="B227" s="4">
        <f>IFERROR(Merged_data[[#This Row],[BTCUSD_Close]]/Merged_data!D226-1,"")</f>
        <v>-1.8294605349489124E-2</v>
      </c>
      <c r="C227" s="4">
        <f>IFERROR(Merged_data[[#This Row],[XAUUSD_Close]]/Merged_data!C226-1, "")</f>
        <v>1.0967286097449014E-2</v>
      </c>
      <c r="D227" s="4">
        <f>IFERROR(Merged_data[[#This Row],[AAPL_Close]]/Merged_data!B226-1,"")</f>
        <v>3.2032957793845629E-2</v>
      </c>
      <c r="E227" s="18">
        <f t="shared" si="15"/>
        <v>8.5084201722865575E-3</v>
      </c>
      <c r="F227" s="19">
        <f t="shared" si="16"/>
        <v>8508.4201722865582</v>
      </c>
      <c r="G227" t="b">
        <f t="shared" si="17"/>
        <v>0</v>
      </c>
      <c r="H227" t="b">
        <f t="shared" si="18"/>
        <v>0</v>
      </c>
      <c r="I227" t="b">
        <f t="shared" ca="1" si="19"/>
        <v>0</v>
      </c>
    </row>
    <row r="228" spans="1:9" x14ac:dyDescent="0.25">
      <c r="A228" s="1">
        <v>45922</v>
      </c>
      <c r="B228" s="4">
        <f>IFERROR(Merged_data[[#This Row],[BTCUSD_Close]]/Merged_data!D227-1,"")</f>
        <v>-1.8757052339206659E-2</v>
      </c>
      <c r="C228" s="4">
        <f>IFERROR(Merged_data[[#This Row],[XAUUSD_Close]]/Merged_data!C227-1, "")</f>
        <v>1.6842428099754558E-2</v>
      </c>
      <c r="D228" s="4">
        <f>IFERROR(Merged_data[[#This Row],[AAPL_Close]]/Merged_data!B227-1,"")</f>
        <v>4.3095723014256571E-2</v>
      </c>
      <c r="E228" s="18">
        <f t="shared" si="15"/>
        <v>1.4038572442416797E-2</v>
      </c>
      <c r="F228" s="19">
        <f t="shared" si="16"/>
        <v>14038.572442416797</v>
      </c>
      <c r="G228" t="b">
        <f t="shared" si="17"/>
        <v>0</v>
      </c>
      <c r="H228" t="b">
        <f t="shared" si="18"/>
        <v>0</v>
      </c>
      <c r="I228" t="b">
        <f t="shared" ca="1" si="19"/>
        <v>0</v>
      </c>
    </row>
    <row r="229" spans="1:9" x14ac:dyDescent="0.25">
      <c r="A229" s="1">
        <v>45923</v>
      </c>
      <c r="B229" s="4">
        <f>IFERROR(Merged_data[[#This Row],[BTCUSD_Close]]/Merged_data!D228-1,"")</f>
        <v>-7.3596405098673712E-3</v>
      </c>
      <c r="C229" s="4">
        <f>IFERROR(Merged_data[[#This Row],[XAUUSD_Close]]/Merged_data!C228-1, "")</f>
        <v>4.8525290270919896E-3</v>
      </c>
      <c r="D229" s="4">
        <f>IFERROR(Merged_data[[#This Row],[AAPL_Close]]/Merged_data!B228-1,"")</f>
        <v>-6.443298969072031E-3</v>
      </c>
      <c r="E229" s="18">
        <f t="shared" si="15"/>
        <v>-2.1998702328450245E-3</v>
      </c>
      <c r="F229" s="19">
        <f t="shared" si="16"/>
        <v>2199.8702328450245</v>
      </c>
      <c r="G229" t="b">
        <f t="shared" si="17"/>
        <v>0</v>
      </c>
      <c r="H229" t="b">
        <f t="shared" si="18"/>
        <v>0</v>
      </c>
      <c r="I229" t="b">
        <f t="shared" ca="1" si="19"/>
        <v>0</v>
      </c>
    </row>
    <row r="230" spans="1:9" x14ac:dyDescent="0.25">
      <c r="A230" s="1">
        <v>45924</v>
      </c>
      <c r="B230" s="4">
        <f>IFERROR(Merged_data[[#This Row],[BTCUSD_Close]]/Merged_data!D229-1,"")</f>
        <v>1.0604453870625585E-2</v>
      </c>
      <c r="C230" s="4">
        <f>IFERROR(Merged_data[[#This Row],[XAUUSD_Close]]/Merged_data!C229-1, "")</f>
        <v>-7.582317753434431E-3</v>
      </c>
      <c r="D230" s="4">
        <f>IFERROR(Merged_data[[#This Row],[AAPL_Close]]/Merged_data!B229-1,"")</f>
        <v>-8.3323507448020973E-3</v>
      </c>
      <c r="E230" s="18">
        <f t="shared" si="15"/>
        <v>-2.351296163626726E-3</v>
      </c>
      <c r="F230" s="19">
        <f t="shared" si="16"/>
        <v>2351.296163626726</v>
      </c>
      <c r="G230" t="b">
        <f t="shared" si="17"/>
        <v>0</v>
      </c>
      <c r="H230" t="b">
        <f t="shared" si="18"/>
        <v>0</v>
      </c>
      <c r="I230" t="b">
        <f t="shared" ca="1" si="19"/>
        <v>0</v>
      </c>
    </row>
    <row r="231" spans="1:9" x14ac:dyDescent="0.25">
      <c r="A231" s="1">
        <v>45925</v>
      </c>
      <c r="B231" s="4">
        <f>IFERROR(Merged_data[[#This Row],[BTCUSD_Close]]/Merged_data!D230-1,"")</f>
        <v>-3.4742123502076616E-2</v>
      </c>
      <c r="C231" s="4">
        <f>IFERROR(Merged_data[[#This Row],[XAUUSD_Close]]/Merged_data!C230-1, "")</f>
        <v>3.5437691625168632E-3</v>
      </c>
      <c r="D231" s="4">
        <f>IFERROR(Merged_data[[#This Row],[AAPL_Close]]/Merged_data!B230-1,"")</f>
        <v>1.807300542982837E-2</v>
      </c>
      <c r="E231" s="18">
        <f t="shared" si="15"/>
        <v>-3.5832277566677281E-3</v>
      </c>
      <c r="F231" s="19">
        <f t="shared" si="16"/>
        <v>3583.227756667728</v>
      </c>
      <c r="G231" t="b">
        <f t="shared" si="17"/>
        <v>0</v>
      </c>
      <c r="H231" t="b">
        <f t="shared" si="18"/>
        <v>0</v>
      </c>
      <c r="I231" t="b">
        <f t="shared" ca="1" si="19"/>
        <v>0</v>
      </c>
    </row>
    <row r="232" spans="1:9" x14ac:dyDescent="0.25">
      <c r="A232" s="1">
        <v>45926</v>
      </c>
      <c r="B232" s="4">
        <f>IFERROR(Merged_data[[#This Row],[BTCUSD_Close]]/Merged_data!D231-1,"")</f>
        <v>-2.2289822503585022E-3</v>
      </c>
      <c r="C232" s="4">
        <f>IFERROR(Merged_data[[#This Row],[XAUUSD_Close]]/Merged_data!C231-1, "")</f>
        <v>4.6247707951325712E-3</v>
      </c>
      <c r="D232" s="4">
        <f>IFERROR(Merged_data[[#This Row],[AAPL_Close]]/Merged_data!B231-1,"")</f>
        <v>-5.4891579398138601E-3</v>
      </c>
      <c r="E232" s="18">
        <f t="shared" si="15"/>
        <v>-4.6553373899868014E-4</v>
      </c>
      <c r="F232" s="19">
        <f t="shared" si="16"/>
        <v>465.53373899868012</v>
      </c>
      <c r="G232" t="b">
        <f t="shared" si="17"/>
        <v>0</v>
      </c>
      <c r="H232" t="b">
        <f t="shared" si="18"/>
        <v>0</v>
      </c>
      <c r="I232" t="b">
        <f t="shared" ca="1" si="19"/>
        <v>0</v>
      </c>
    </row>
    <row r="233" spans="1:9" x14ac:dyDescent="0.25">
      <c r="A233" s="1">
        <v>45929</v>
      </c>
      <c r="B233" s="4">
        <f>IFERROR(Merged_data[[#This Row],[BTCUSD_Close]]/Merged_data!D232-1,"")</f>
        <v>4.6189905056627234E-2</v>
      </c>
      <c r="C233" s="4">
        <f>IFERROR(Merged_data[[#This Row],[XAUUSD_Close]]/Merged_data!C232-1, "")</f>
        <v>1.7719684127947E-2</v>
      </c>
      <c r="D233" s="4">
        <f>IFERROR(Merged_data[[#This Row],[AAPL_Close]]/Merged_data!B232-1,"")</f>
        <v>-4.0319423784546116E-3</v>
      </c>
      <c r="E233" s="18">
        <f t="shared" si="15"/>
        <v>1.9735262454630587E-2</v>
      </c>
      <c r="F233" s="19">
        <f t="shared" si="16"/>
        <v>19735.262454630585</v>
      </c>
      <c r="G233" t="b">
        <f t="shared" si="17"/>
        <v>0</v>
      </c>
      <c r="H233" t="b">
        <f t="shared" si="18"/>
        <v>0</v>
      </c>
      <c r="I233" t="b">
        <f t="shared" ca="1" si="19"/>
        <v>0</v>
      </c>
    </row>
    <row r="234" spans="1:9" x14ac:dyDescent="0.25">
      <c r="A234" s="1">
        <v>45930</v>
      </c>
      <c r="B234" s="4">
        <f>IFERROR(Merged_data[[#This Row],[BTCUSD_Close]]/Merged_data!D233-1,"")</f>
        <v>-3.1504883256905369E-4</v>
      </c>
      <c r="C234" s="4">
        <f>IFERROR(Merged_data[[#This Row],[XAUUSD_Close]]/Merged_data!C233-1, "")</f>
        <v>6.5893474824310072E-3</v>
      </c>
      <c r="D234" s="4">
        <f>IFERROR(Merged_data[[#This Row],[AAPL_Close]]/Merged_data!B233-1,"")</f>
        <v>7.8607082498138858E-4</v>
      </c>
      <c r="E234" s="18">
        <f t="shared" si="15"/>
        <v>2.7770455906961037E-3</v>
      </c>
      <c r="F234" s="19">
        <f t="shared" si="16"/>
        <v>2777.0455906961038</v>
      </c>
      <c r="G234" t="b">
        <f t="shared" si="17"/>
        <v>0</v>
      </c>
      <c r="H234" t="b">
        <f t="shared" si="18"/>
        <v>0</v>
      </c>
      <c r="I234" t="b">
        <f t="shared" ca="1" si="19"/>
        <v>0</v>
      </c>
    </row>
    <row r="235" spans="1:9" x14ac:dyDescent="0.25">
      <c r="A235" s="1">
        <v>45931</v>
      </c>
      <c r="B235" s="4">
        <f>IFERROR(Merged_data[[#This Row],[BTCUSD_Close]]/Merged_data!D234-1,"")</f>
        <v>2.9807759647034082E-2</v>
      </c>
      <c r="C235" s="4">
        <f>IFERROR(Merged_data[[#This Row],[XAUUSD_Close]]/Merged_data!C234-1, "")</f>
        <v>1.8205518928557929E-3</v>
      </c>
      <c r="D235" s="4">
        <f>IFERROR(Merged_data[[#This Row],[AAPL_Close]]/Merged_data!B234-1,"")</f>
        <v>3.2203589522050713E-3</v>
      </c>
      <c r="E235" s="18">
        <f t="shared" si="15"/>
        <v>1.0636656336914064E-2</v>
      </c>
      <c r="F235" s="19">
        <f t="shared" si="16"/>
        <v>10636.656336914064</v>
      </c>
      <c r="G235" t="b">
        <f t="shared" si="17"/>
        <v>0</v>
      </c>
      <c r="H235" t="b">
        <f t="shared" si="18"/>
        <v>0</v>
      </c>
      <c r="I235" t="b">
        <f t="shared" ca="1" si="19"/>
        <v>0</v>
      </c>
    </row>
    <row r="236" spans="1:9" x14ac:dyDescent="0.25">
      <c r="A236" s="1">
        <v>45932</v>
      </c>
      <c r="B236" s="4">
        <f>IFERROR(Merged_data[[#This Row],[BTCUSD_Close]]/Merged_data!D235-1,"")</f>
        <v>2.2178396252879651E-2</v>
      </c>
      <c r="C236" s="4">
        <f>IFERROR(Merged_data[[#This Row],[XAUUSD_Close]]/Merged_data!C235-1, "")</f>
        <v>-2.36435667639745E-3</v>
      </c>
      <c r="D236" s="4">
        <f>IFERROR(Merged_data[[#This Row],[AAPL_Close]]/Merged_data!B235-1,"")</f>
        <v>6.5766294773927925E-3</v>
      </c>
      <c r="E236" s="18">
        <f t="shared" si="15"/>
        <v>7.6807650485227526E-3</v>
      </c>
      <c r="F236" s="19">
        <f t="shared" si="16"/>
        <v>7680.7650485227523</v>
      </c>
      <c r="G236" t="b">
        <f t="shared" si="17"/>
        <v>0</v>
      </c>
      <c r="H236" t="b">
        <f t="shared" si="18"/>
        <v>0</v>
      </c>
      <c r="I236" t="b">
        <f t="shared" ca="1" si="19"/>
        <v>0</v>
      </c>
    </row>
    <row r="237" spans="1:9" x14ac:dyDescent="0.25">
      <c r="A237" s="1">
        <v>45933</v>
      </c>
      <c r="B237" s="4">
        <f>IFERROR(Merged_data[[#This Row],[BTCUSD_Close]]/Merged_data!D236-1,"")</f>
        <v>2.0233521281373124E-2</v>
      </c>
      <c r="C237" s="4">
        <f>IFERROR(Merged_data[[#This Row],[XAUUSD_Close]]/Merged_data!C236-1, "")</f>
        <v>7.6025416136731305E-3</v>
      </c>
      <c r="D237" s="4">
        <f>IFERROR(Merged_data[[#This Row],[AAPL_Close]]/Merged_data!B236-1,"")</f>
        <v>3.4612841753198786E-3</v>
      </c>
      <c r="E237" s="18">
        <f t="shared" si="15"/>
        <v>1.0149458282477153E-2</v>
      </c>
      <c r="F237" s="19">
        <f t="shared" si="16"/>
        <v>10149.458282477153</v>
      </c>
      <c r="G237" t="b">
        <f t="shared" si="17"/>
        <v>0</v>
      </c>
      <c r="H237" t="b">
        <f t="shared" si="18"/>
        <v>0</v>
      </c>
      <c r="I237" t="b">
        <f t="shared" ca="1" si="19"/>
        <v>0</v>
      </c>
    </row>
    <row r="238" spans="1:9" x14ac:dyDescent="0.25">
      <c r="A238" s="1">
        <v>45936</v>
      </c>
      <c r="B238" s="4">
        <f>IFERROR(Merged_data[[#This Row],[BTCUSD_Close]]/Merged_data!D237-1,"")</f>
        <v>2.0329477742726976E-2</v>
      </c>
      <c r="C238" s="4">
        <f>IFERROR(Merged_data[[#This Row],[XAUUSD_Close]]/Merged_data!C237-1, "")</f>
        <v>1.907653904797435E-2</v>
      </c>
      <c r="D238" s="4">
        <f>IFERROR(Merged_data[[#This Row],[AAPL_Close]]/Merged_data!B237-1,"")</f>
        <v>-5.1546391752577136E-3</v>
      </c>
      <c r="E238" s="18">
        <f t="shared" si="15"/>
        <v>1.2183067189430519E-2</v>
      </c>
      <c r="F238" s="19">
        <f t="shared" si="16"/>
        <v>12183.067189430518</v>
      </c>
      <c r="G238" t="b">
        <f t="shared" si="17"/>
        <v>0</v>
      </c>
      <c r="H238" t="b">
        <f t="shared" si="18"/>
        <v>0</v>
      </c>
      <c r="I238" t="b">
        <f t="shared" ca="1" si="19"/>
        <v>0</v>
      </c>
    </row>
    <row r="239" spans="1:9" x14ac:dyDescent="0.25">
      <c r="A239" s="1">
        <v>45937</v>
      </c>
      <c r="B239" s="4">
        <f>IFERROR(Merged_data[[#This Row],[BTCUSD_Close]]/Merged_data!D238-1,"")</f>
        <v>-2.4542033825185938E-2</v>
      </c>
      <c r="C239" s="4">
        <f>IFERROR(Merged_data[[#This Row],[XAUUSD_Close]]/Merged_data!C238-1, "")</f>
        <v>6.2600140654611725E-3</v>
      </c>
      <c r="D239" s="4">
        <f>IFERROR(Merged_data[[#This Row],[AAPL_Close]]/Merged_data!B238-1,"")</f>
        <v>-8.1810744477761599E-4</v>
      </c>
      <c r="E239" s="18">
        <f t="shared" si="15"/>
        <v>-5.1040367548045975E-3</v>
      </c>
      <c r="F239" s="19">
        <f t="shared" si="16"/>
        <v>5104.0367548045979</v>
      </c>
      <c r="G239" t="b">
        <f t="shared" si="17"/>
        <v>0</v>
      </c>
      <c r="H239" t="b">
        <f t="shared" si="18"/>
        <v>0</v>
      </c>
      <c r="I239" t="b">
        <f t="shared" ca="1" si="19"/>
        <v>0</v>
      </c>
    </row>
    <row r="240" spans="1:9" x14ac:dyDescent="0.25">
      <c r="A240" s="1">
        <v>45938</v>
      </c>
      <c r="B240" s="4">
        <f>IFERROR(Merged_data[[#This Row],[BTCUSD_Close]]/Merged_data!D239-1,"")</f>
        <v>9.9999181005887561E-3</v>
      </c>
      <c r="C240" s="4">
        <f>IFERROR(Merged_data[[#This Row],[XAUUSD_Close]]/Merged_data!C239-1, "")</f>
        <v>1.4094651109390899E-2</v>
      </c>
      <c r="D240" s="4">
        <f>IFERROR(Merged_data[[#This Row],[AAPL_Close]]/Merged_data!B239-1,"")</f>
        <v>6.1603243917653927E-3</v>
      </c>
      <c r="E240" s="18">
        <f t="shared" si="15"/>
        <v>1.0485933191462604E-2</v>
      </c>
      <c r="F240" s="19">
        <f t="shared" si="16"/>
        <v>10485.933191462604</v>
      </c>
      <c r="G240" t="b">
        <f t="shared" si="17"/>
        <v>0</v>
      </c>
      <c r="H240" t="b">
        <f t="shared" si="18"/>
        <v>0</v>
      </c>
      <c r="I240" t="b">
        <f t="shared" ca="1" si="19"/>
        <v>0</v>
      </c>
    </row>
    <row r="241" spans="1:9" x14ac:dyDescent="0.25">
      <c r="A241" s="1">
        <v>45939</v>
      </c>
      <c r="B241" s="4">
        <f>IFERROR(Merged_data[[#This Row],[BTCUSD_Close]]/Merged_data!D240-1,"")</f>
        <v>-1.4498629603801438E-2</v>
      </c>
      <c r="C241" s="4">
        <f>IFERROR(Merged_data[[#This Row],[XAUUSD_Close]]/Merged_data!C240-1, "")</f>
        <v>-1.5825251607890167E-2</v>
      </c>
      <c r="D241" s="4">
        <f>IFERROR(Merged_data[[#This Row],[AAPL_Close]]/Merged_data!B240-1,"")</f>
        <v>-1.5577772611020779E-2</v>
      </c>
      <c r="E241" s="18">
        <f t="shared" si="15"/>
        <v>-1.5353021307602731E-2</v>
      </c>
      <c r="F241" s="19">
        <f t="shared" si="16"/>
        <v>15353.02130760273</v>
      </c>
      <c r="G241" t="b">
        <f t="shared" si="17"/>
        <v>0</v>
      </c>
      <c r="H241" t="b">
        <f t="shared" si="18"/>
        <v>0</v>
      </c>
      <c r="I241" t="b">
        <f t="shared" ca="1" si="19"/>
        <v>0</v>
      </c>
    </row>
    <row r="242" spans="1:9" x14ac:dyDescent="0.25">
      <c r="A242" s="1">
        <v>45940</v>
      </c>
      <c r="B242" s="4">
        <f>IFERROR(Merged_data[[#This Row],[BTCUSD_Close]]/Merged_data!D241-1,"")</f>
        <v>-3.9108397650040372E-2</v>
      </c>
      <c r="C242" s="4">
        <f>IFERROR(Merged_data[[#This Row],[XAUUSD_Close]]/Merged_data!C241-1, "")</f>
        <v>8.4522235017827629E-3</v>
      </c>
      <c r="D242" s="4">
        <f>IFERROR(Merged_data[[#This Row],[AAPL_Close]]/Merged_data!B241-1,"")</f>
        <v>-3.4522122500393548E-2</v>
      </c>
      <c r="E242" s="18">
        <f t="shared" si="15"/>
        <v>-1.8708266644417069E-2</v>
      </c>
      <c r="F242" s="19">
        <f t="shared" si="16"/>
        <v>18708.266644417068</v>
      </c>
      <c r="G242" t="b">
        <f t="shared" si="17"/>
        <v>0</v>
      </c>
      <c r="H242" t="b">
        <f t="shared" si="18"/>
        <v>0</v>
      </c>
      <c r="I242" t="b">
        <f t="shared" ca="1" si="19"/>
        <v>0</v>
      </c>
    </row>
    <row r="243" spans="1:9" x14ac:dyDescent="0.25">
      <c r="A243" s="1">
        <v>45943</v>
      </c>
      <c r="B243" s="4">
        <f>IFERROR(Merged_data[[#This Row],[BTCUSD_Close]]/Merged_data!D242-1,"")</f>
        <v>-8.3660869490755907E-3</v>
      </c>
      <c r="C243" s="4">
        <f>IFERROR(Merged_data[[#This Row],[XAUUSD_Close]]/Merged_data!C242-1, "")</f>
        <v>2.4822504939941314E-2</v>
      </c>
      <c r="D243" s="4">
        <f>IFERROR(Merged_data[[#This Row],[AAPL_Close]]/Merged_data!B242-1,"")</f>
        <v>9.7443633546703268E-3</v>
      </c>
      <c r="E243" s="18">
        <f t="shared" si="15"/>
        <v>1.0342484897654948E-2</v>
      </c>
      <c r="F243" s="19">
        <f t="shared" si="16"/>
        <v>10342.484897654947</v>
      </c>
      <c r="G243" t="b">
        <f t="shared" si="17"/>
        <v>0</v>
      </c>
      <c r="H243" t="b">
        <f t="shared" si="18"/>
        <v>0</v>
      </c>
      <c r="I243" t="b">
        <f t="shared" ca="1" si="19"/>
        <v>0</v>
      </c>
    </row>
    <row r="244" spans="1:9" x14ac:dyDescent="0.25">
      <c r="A244" s="1">
        <v>45944</v>
      </c>
      <c r="B244" s="4">
        <f>IFERROR(Merged_data[[#This Row],[BTCUSD_Close]]/Merged_data!D243-1,"")</f>
        <v>-2.2520811025525833E-2</v>
      </c>
      <c r="C244" s="4">
        <f>IFERROR(Merged_data[[#This Row],[XAUUSD_Close]]/Merged_data!C243-1, "")</f>
        <v>7.7246285487673205E-3</v>
      </c>
      <c r="D244" s="4">
        <f>IFERROR(Merged_data[[#This Row],[AAPL_Close]]/Merged_data!B243-1,"")</f>
        <v>4.4415731244451528E-4</v>
      </c>
      <c r="E244" s="18">
        <f t="shared" si="15"/>
        <v>-3.5331446944174665E-3</v>
      </c>
      <c r="F244" s="19">
        <f t="shared" si="16"/>
        <v>3533.1446944174663</v>
      </c>
      <c r="G244" t="b">
        <f t="shared" si="17"/>
        <v>0</v>
      </c>
      <c r="H244" t="b">
        <f t="shared" si="18"/>
        <v>0</v>
      </c>
      <c r="I244" t="b">
        <f t="shared" ca="1" si="19"/>
        <v>0</v>
      </c>
    </row>
    <row r="245" spans="1:9" x14ac:dyDescent="0.25">
      <c r="A245" s="1">
        <v>45945</v>
      </c>
      <c r="B245" s="4">
        <f>IFERROR(Merged_data[[#This Row],[BTCUSD_Close]]/Merged_data!D244-1,"")</f>
        <v>-2.0407081522315296E-2</v>
      </c>
      <c r="C245" s="4">
        <f>IFERROR(Merged_data[[#This Row],[XAUUSD_Close]]/Merged_data!C244-1, "")</f>
        <v>1.5951308311483947E-2</v>
      </c>
      <c r="D245" s="4">
        <f>IFERROR(Merged_data[[#This Row],[AAPL_Close]]/Merged_data!B244-1,"")</f>
        <v>6.336521774226167E-3</v>
      </c>
      <c r="E245" s="18">
        <f t="shared" si="15"/>
        <v>2.1593554001668406E-3</v>
      </c>
      <c r="F245" s="19">
        <f t="shared" si="16"/>
        <v>2159.3554001668408</v>
      </c>
      <c r="G245" t="b">
        <f t="shared" si="17"/>
        <v>0</v>
      </c>
      <c r="H245" t="b">
        <f t="shared" si="18"/>
        <v>0</v>
      </c>
      <c r="I245" t="b">
        <f t="shared" ca="1" si="19"/>
        <v>0</v>
      </c>
    </row>
    <row r="246" spans="1:9" x14ac:dyDescent="0.25">
      <c r="A246" s="1">
        <v>45946</v>
      </c>
      <c r="B246" s="4">
        <f>IFERROR(Merged_data[[#This Row],[BTCUSD_Close]]/Merged_data!D245-1,"")</f>
        <v>-2.1634832169976415E-2</v>
      </c>
      <c r="C246" s="4">
        <f>IFERROR(Merged_data[[#This Row],[XAUUSD_Close]]/Merged_data!C245-1, "")</f>
        <v>2.8523900619051412E-2</v>
      </c>
      <c r="D246" s="4">
        <f>IFERROR(Merged_data[[#This Row],[AAPL_Close]]/Merged_data!B245-1,"")</f>
        <v>-7.5800112296463551E-3</v>
      </c>
      <c r="E246" s="18">
        <f t="shared" si="15"/>
        <v>2.6451072277337349E-3</v>
      </c>
      <c r="F246" s="19">
        <f t="shared" si="16"/>
        <v>2645.1072277337348</v>
      </c>
      <c r="G246" t="b">
        <f t="shared" si="17"/>
        <v>0</v>
      </c>
      <c r="H246" t="b">
        <f t="shared" si="18"/>
        <v>0</v>
      </c>
      <c r="I246" t="b">
        <f t="shared" ca="1" si="19"/>
        <v>0</v>
      </c>
    </row>
    <row r="247" spans="1:9" x14ac:dyDescent="0.25">
      <c r="A247" s="1">
        <v>45947</v>
      </c>
      <c r="B247" s="4">
        <f>IFERROR(Merged_data[[#This Row],[BTCUSD_Close]]/Merged_data!D246-1,"")</f>
        <v>-1.8499912431904297E-2</v>
      </c>
      <c r="C247" s="4">
        <f>IFERROR(Merged_data[[#This Row],[XAUUSD_Close]]/Merged_data!C246-1, "")</f>
        <v>-2.3727611319568909E-2</v>
      </c>
      <c r="D247" s="4">
        <f>IFERROR(Merged_data[[#This Row],[AAPL_Close]]/Merged_data!B246-1,"")</f>
        <v>1.9559506971105201E-2</v>
      </c>
      <c r="E247" s="18">
        <f t="shared" si="15"/>
        <v>-9.1731661660672918E-3</v>
      </c>
      <c r="F247" s="19">
        <f t="shared" si="16"/>
        <v>9173.1661660672926</v>
      </c>
      <c r="G247" t="b">
        <f t="shared" si="17"/>
        <v>0</v>
      </c>
      <c r="H247" t="b">
        <f t="shared" si="18"/>
        <v>0</v>
      </c>
      <c r="I247" t="b">
        <f t="shared" ca="1" si="19"/>
        <v>0</v>
      </c>
    </row>
    <row r="248" spans="1:9" x14ac:dyDescent="0.25">
      <c r="A248" s="1">
        <v>45950</v>
      </c>
      <c r="B248" s="4">
        <f>IFERROR(Merged_data[[#This Row],[BTCUSD_Close]]/Merged_data!D247-1,"")</f>
        <v>3.8758452291510093E-2</v>
      </c>
      <c r="C248" s="4">
        <f>IFERROR(Merged_data[[#This Row],[XAUUSD_Close]]/Merged_data!C247-1, "")</f>
        <v>3.0928542606176501E-2</v>
      </c>
      <c r="D248" s="4">
        <f>IFERROR(Merged_data[[#This Row],[AAPL_Close]]/Merged_data!B247-1,"")</f>
        <v>3.943874113123802E-2</v>
      </c>
      <c r="E248" s="18">
        <f t="shared" si="15"/>
        <v>3.5830575069295031E-2</v>
      </c>
      <c r="F248" s="19">
        <f t="shared" si="16"/>
        <v>35830.575069295031</v>
      </c>
      <c r="G248" t="b">
        <f t="shared" si="17"/>
        <v>1</v>
      </c>
      <c r="H248" t="b">
        <f t="shared" si="18"/>
        <v>1</v>
      </c>
      <c r="I248" t="b">
        <f t="shared" ca="1" si="19"/>
        <v>0</v>
      </c>
    </row>
    <row r="249" spans="1:9" x14ac:dyDescent="0.25">
      <c r="A249" s="1">
        <v>45951</v>
      </c>
      <c r="B249" s="4">
        <f>IFERROR(Merged_data[[#This Row],[BTCUSD_Close]]/Merged_data!D248-1,"")</f>
        <v>2.9292901895900947E-3</v>
      </c>
      <c r="C249" s="4">
        <f>IFERROR(Merged_data[[#This Row],[XAUUSD_Close]]/Merged_data!C248-1, "")</f>
        <v>-5.30868420388102E-2</v>
      </c>
      <c r="D249" s="4">
        <f>IFERROR(Merged_data[[#This Row],[AAPL_Close]]/Merged_data!B248-1,"")</f>
        <v>2.0210494203782847E-3</v>
      </c>
      <c r="E249" s="18">
        <f t="shared" si="15"/>
        <v>-1.9749634932533566E-2</v>
      </c>
      <c r="F249" s="19">
        <f t="shared" si="16"/>
        <v>19749.634932533565</v>
      </c>
      <c r="G249" t="b">
        <f t="shared" si="17"/>
        <v>0</v>
      </c>
      <c r="H249" t="b">
        <f t="shared" si="18"/>
        <v>0</v>
      </c>
      <c r="I249" t="b">
        <f t="shared" ca="1" si="19"/>
        <v>0</v>
      </c>
    </row>
    <row r="250" spans="1:9" x14ac:dyDescent="0.25">
      <c r="A250" s="1">
        <v>45952</v>
      </c>
      <c r="B250" s="4">
        <f>IFERROR(Merged_data[[#This Row],[BTCUSD_Close]]/Merged_data!D249-1,"")</f>
        <v>-3.335406694251386E-2</v>
      </c>
      <c r="C250" s="4">
        <f>IFERROR(Merged_data[[#This Row],[XAUUSD_Close]]/Merged_data!C249-1, "")</f>
        <v>-6.4196740706260469E-3</v>
      </c>
      <c r="D250" s="4">
        <f>IFERROR(Merged_data[[#This Row],[AAPL_Close]]/Merged_data!B249-1,"")</f>
        <v>-1.6440232903299434E-2</v>
      </c>
      <c r="E250" s="18">
        <f t="shared" si="15"/>
        <v>-1.7506159581994408E-2</v>
      </c>
      <c r="F250" s="19">
        <f t="shared" si="16"/>
        <v>17506.159581994409</v>
      </c>
      <c r="G250" t="b">
        <f t="shared" si="17"/>
        <v>0</v>
      </c>
      <c r="H250" t="b">
        <f t="shared" si="18"/>
        <v>0</v>
      </c>
      <c r="I250" t="b">
        <f t="shared" ca="1" si="19"/>
        <v>0</v>
      </c>
    </row>
    <row r="251" spans="1:9" x14ac:dyDescent="0.25">
      <c r="A251" s="1">
        <v>45953</v>
      </c>
      <c r="B251" s="4">
        <f>IFERROR(Merged_data[[#This Row],[BTCUSD_Close]]/Merged_data!D250-1,"")</f>
        <v>2.2008560957185841E-2</v>
      </c>
      <c r="C251" s="4">
        <f>IFERROR(Merged_data[[#This Row],[XAUUSD_Close]]/Merged_data!C250-1, "")</f>
        <v>6.9125548392763303E-3</v>
      </c>
      <c r="D251" s="4">
        <f>IFERROR(Merged_data[[#This Row],[AAPL_Close]]/Merged_data!B250-1,"")</f>
        <v>4.3722189978718795E-3</v>
      </c>
      <c r="E251" s="18">
        <f t="shared" si="15"/>
        <v>1.0679255922227848E-2</v>
      </c>
      <c r="F251" s="19">
        <f t="shared" si="16"/>
        <v>10679.255922227849</v>
      </c>
      <c r="G251" t="b">
        <f t="shared" si="17"/>
        <v>0</v>
      </c>
      <c r="H251" t="b">
        <f t="shared" si="18"/>
        <v>0</v>
      </c>
      <c r="I251" t="b">
        <f t="shared" ca="1" si="19"/>
        <v>0</v>
      </c>
    </row>
    <row r="252" spans="1:9" x14ac:dyDescent="0.25">
      <c r="A252" s="1">
        <v>45954</v>
      </c>
    </row>
  </sheetData>
  <conditionalFormatting sqref="G1:I1048576">
    <cfRule type="cellIs" dxfId="3" priority="2" operator="equal">
      <formula>TRUE</formula>
    </cfRule>
  </conditionalFormatting>
  <conditionalFormatting sqref="K19">
    <cfRule type="cellIs" dxfId="2" priority="1" operator="lessThan">
      <formula>$L$5</formula>
    </cfRule>
  </conditionalFormatting>
  <hyperlinks>
    <hyperlink ref="G1" r:id="rId1" display="His@99CI" xr:uid="{C13966F7-E9E5-4BB9-B151-FD73C2D34A4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29A6-F0B2-402B-A7B6-1BF4E9CE9171}">
  <dimension ref="N14:P20"/>
  <sheetViews>
    <sheetView showGridLines="0" zoomScaleNormal="100" workbookViewId="0">
      <selection activeCell="S4" sqref="S4"/>
    </sheetView>
  </sheetViews>
  <sheetFormatPr defaultRowHeight="15" x14ac:dyDescent="0.25"/>
  <cols>
    <col min="14" max="14" width="11.85546875" bestFit="1" customWidth="1"/>
    <col min="15" max="15" width="21.28515625" customWidth="1"/>
    <col min="16" max="16" width="14.7109375" customWidth="1"/>
  </cols>
  <sheetData>
    <row r="14" ht="81" customHeight="1" x14ac:dyDescent="0.25"/>
    <row r="17" spans="14:16" ht="15.75" x14ac:dyDescent="0.25">
      <c r="N17" s="31" t="str" cm="1">
        <f t="array" aca="1" ref="N17:P20" ca="1">Calculation!AD2:AF5</f>
        <v>Methods</v>
      </c>
      <c r="O17" s="32" t="str">
        <f ca="1"/>
        <v>p value</v>
      </c>
      <c r="P17" s="31" t="str">
        <f ca="1"/>
        <v>Result</v>
      </c>
    </row>
    <row r="18" spans="14:16" x14ac:dyDescent="0.25">
      <c r="N18" s="34" t="str">
        <f ca="1"/>
        <v>Monte Carlo</v>
      </c>
      <c r="O18" s="33">
        <f ca="1"/>
        <v>0.75299277749896165</v>
      </c>
      <c r="P18" t="str">
        <f ca="1"/>
        <v>Reliable</v>
      </c>
    </row>
    <row r="19" spans="14:16" x14ac:dyDescent="0.25">
      <c r="N19" s="34" t="str">
        <f ca="1"/>
        <v>Historical</v>
      </c>
      <c r="O19" s="33">
        <f ca="1"/>
        <v>5.8340691833682082E-2</v>
      </c>
      <c r="P19" t="str">
        <f ca="1"/>
        <v>Reliable</v>
      </c>
    </row>
    <row r="20" spans="14:16" x14ac:dyDescent="0.25">
      <c r="N20" s="34" t="str">
        <f ca="1"/>
        <v>Parametric</v>
      </c>
      <c r="O20" s="33">
        <f ca="1"/>
        <v>5.2867903501268628E-3</v>
      </c>
      <c r="P20" t="str">
        <f ca="1"/>
        <v>Not Reliable</v>
      </c>
    </row>
  </sheetData>
  <conditionalFormatting sqref="P18:P20">
    <cfRule type="containsText" dxfId="1" priority="1" operator="containsText" text="Not Reliable">
      <formula>NOT(ISERROR(SEARCH("Not Reliable",P18)))</formula>
    </cfRule>
    <cfRule type="containsText" dxfId="0" priority="2" operator="containsText" text="Reliable">
      <formula>NOT(ISERROR(SEARCH("Reliable",P18)))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001F80-1BEF-4B3E-863A-419E9C019A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Merged_data</vt:lpstr>
      <vt:lpstr>Calculation</vt:lpstr>
      <vt:lpstr>Historical</vt:lpstr>
      <vt:lpstr>Parametric</vt:lpstr>
      <vt:lpstr>Monte_Carlo</vt:lpstr>
      <vt:lpstr>Kupeic Test</vt:lpstr>
      <vt:lpstr>Dashboard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PC</cp:lastModifiedBy>
  <dcterms:created xsi:type="dcterms:W3CDTF">2015-06-05T18:17:20Z</dcterms:created>
  <dcterms:modified xsi:type="dcterms:W3CDTF">2026-09-23T03:30:37Z</dcterms:modified>
</cp:coreProperties>
</file>